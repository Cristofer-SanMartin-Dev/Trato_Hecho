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crisa\OneDrive\Escritorio\Duoc UC\SEMESTRE_5\Portafolio\TratoHecho\"/>
    </mc:Choice>
  </mc:AlternateContent>
  <xr:revisionPtr revIDLastSave="0" documentId="13_ncr:1_{EB2F0728-F308-4778-8DFA-5EDA60175FDE}" xr6:coauthVersionLast="47" xr6:coauthVersionMax="47" xr10:uidLastSave="{00000000-0000-0000-0000-000000000000}"/>
  <bookViews>
    <workbookView xWindow="-108" yWindow="-108" windowWidth="23256" windowHeight="12456" tabRatio="673" activeTab="4" xr2:uid="{00000000-000D-0000-FFFF-FFFF00000000}"/>
  </bookViews>
  <sheets>
    <sheet name="📊 Dashboard" sheetId="1" r:id="rId1"/>
    <sheet name="🗄️ Cotizaciones BD" sheetId="2" r:id="rId2"/>
    <sheet name="✅ Ventas Confirmadas" sheetId="3" r:id="rId3"/>
    <sheet name="💬 Historial Sesiones" sheetId="4" r:id="rId4"/>
    <sheet name="📈 Gráficos" sheetId="5" r:id="rId5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<sst xmlns="http://schemas.openxmlformats.org/spreadsheetml/2006/main" count="839" uniqueCount="377">
  <si>
    <t>🌿  TRATO HECHO — Dashboard Estadístico · Base de Datos Supabase</t>
  </si>
  <si>
    <t xml:space="preserve">  GUÍA DE ESTADOS — Tabla cotizaciones  (C = Confirmado · P = Pendiente · V = Vencida)</t>
  </si>
  <si>
    <t>Código</t>
  </si>
  <si>
    <t>Estado</t>
  </si>
  <si>
    <t>Descripción del estado</t>
  </si>
  <si>
    <t>C</t>
  </si>
  <si>
    <t>Confirmado</t>
  </si>
  <si>
    <t>Pago exitoso — cotizacion cobrada (equivale a Pagado)</t>
  </si>
  <si>
    <t>████</t>
  </si>
  <si>
    <t>P</t>
  </si>
  <si>
    <t>Pendiente</t>
  </si>
  <si>
    <t>Ventana de pago activa, esperando confirmacion (≤10 dias)</t>
  </si>
  <si>
    <t>V</t>
  </si>
  <si>
    <t>Vencida</t>
  </si>
  <si>
    <t>Supero 10 dias sin pago — ya no es valida</t>
  </si>
  <si>
    <t xml:space="preserve">  INDICADORES CLAVE (KPIs)</t>
  </si>
  <si>
    <t>📋 Total Registros BD</t>
  </si>
  <si>
    <t>📊 Registros Reales</t>
  </si>
  <si>
    <t>✅ Confirmados (C)</t>
  </si>
  <si>
    <t>⏳ Pendientes (P)</t>
  </si>
  <si>
    <t>❌ Vencidos (V)</t>
  </si>
  <si>
    <t>💵 Ingresos Cobrados</t>
  </si>
  <si>
    <t>22 test  ·  28 reales</t>
  </si>
  <si>
    <t>24 completos + 4 m2=0</t>
  </si>
  <si>
    <t>$25,514,400 CLP cobrados</t>
  </si>
  <si>
    <t>$72,910,400 CLP en espera</t>
  </si>
  <si>
    <t>$158,087,900 CLP perdidos</t>
  </si>
  <si>
    <t>7 pagos MercadoPago</t>
  </si>
  <si>
    <t xml:space="preserve">  CALIDAD DE DATOS — Análisis de los 51 registros de la tabla cotizaciones</t>
  </si>
  <si>
    <t>Categoría</t>
  </si>
  <si>
    <t>Registros</t>
  </si>
  <si>
    <t>% del Total</t>
  </si>
  <si>
    <t>Descripción</t>
  </si>
  <si>
    <t>Completos (m2 y total &gt; 0)</t>
  </si>
  <si>
    <t>Datos completos, válidos para análisis</t>
  </si>
  <si>
    <t>M2 = 0 (precio fijo o error)</t>
  </si>
  <si>
    <t>Tienen total pero sin metraje registrado</t>
  </si>
  <si>
    <t>Sin total (total = 0)</t>
  </si>
  <si>
    <t>Cotización sin precio calculado</t>
  </si>
  <si>
    <t>Test / sesiones de prueba</t>
  </si>
  <si>
    <t>Sesiones de prueba del equipo dev</t>
  </si>
  <si>
    <t>TOTAL BD</t>
  </si>
  <si>
    <t xml:space="preserve">  DISTRIBUCIÓN POR ESTADO — sobre los registros reales</t>
  </si>
  <si>
    <t>Cód.</t>
  </si>
  <si>
    <t>Cantidad</t>
  </si>
  <si>
    <t>% Reales</t>
  </si>
  <si>
    <t>Total CLP</t>
  </si>
  <si>
    <t>Pago exitoso</t>
  </si>
  <si>
    <t>Ventana activa ≤10 días</t>
  </si>
  <si>
    <t>Expirada sin pago</t>
  </si>
  <si>
    <t>TOTAL</t>
  </si>
  <si>
    <t xml:space="preserve">  TOP PRODUCTOS — Cotizaciones reales vs Ventas confirmadas (MercadoPago)</t>
  </si>
  <si>
    <t>Producto</t>
  </si>
  <si>
    <t>Cotiz.</t>
  </si>
  <si>
    <t>M² Cot.</t>
  </si>
  <si>
    <t>Ing. Cotizado</t>
  </si>
  <si>
    <t>Vtas MP</t>
  </si>
  <si>
    <t>M² Vend.</t>
  </si>
  <si>
    <t>Ing. Cobrado</t>
  </si>
  <si>
    <t>Soft Touch 30mm</t>
  </si>
  <si>
    <t>Pasto Deportivo Fútbol 7</t>
  </si>
  <si>
    <t>Pasto Tenis &amp; Pádel</t>
  </si>
  <si>
    <t>Luxury Emerald 40mm</t>
  </si>
  <si>
    <t>Pasto Deportivo Fútbol 11</t>
  </si>
  <si>
    <t>Fútbol 7</t>
  </si>
  <si>
    <t>Pet-Friendly Turf 35mm</t>
  </si>
  <si>
    <t xml:space="preserve">  ACTIVIDAD DIARIA — Cotizaciones reales por fecha (Mayo 2026)</t>
  </si>
  <si>
    <t>Fecha</t>
  </si>
  <si>
    <t>Cotizaciones</t>
  </si>
  <si>
    <t>Ingresos CLP</t>
  </si>
  <si>
    <t>Actividad</t>
  </si>
  <si>
    <t>2026-05-02</t>
  </si>
  <si>
    <t>█</t>
  </si>
  <si>
    <t>2026-05-04</t>
  </si>
  <si>
    <t>████████████</t>
  </si>
  <si>
    <t>2026-05-05</t>
  </si>
  <si>
    <t>███████████████</t>
  </si>
  <si>
    <t>2026-05-06</t>
  </si>
  <si>
    <t>2026-05-09</t>
  </si>
  <si>
    <t>2026-05-10</t>
  </si>
  <si>
    <t>██████████████████</t>
  </si>
  <si>
    <t>2026-05-11</t>
  </si>
  <si>
    <t>████████</t>
  </si>
  <si>
    <t>2026-05-16</t>
  </si>
  <si>
    <t>2026-05-19</t>
  </si>
  <si>
    <t>2026-05-23</t>
  </si>
  <si>
    <t>🗄️  COTIZACIONES — 51 registros  ·  C=Confirmado · P=Pendiente · V=Vencida  ·  Columna "tipo" clasifica calidad del dato</t>
  </si>
  <si>
    <t>id</t>
  </si>
  <si>
    <t>numero</t>
  </si>
  <si>
    <t>session_id</t>
  </si>
  <si>
    <t>nombre</t>
  </si>
  <si>
    <t>rut</t>
  </si>
  <si>
    <t>direccion</t>
  </si>
  <si>
    <t>producto</t>
  </si>
  <si>
    <t>m2</t>
  </si>
  <si>
    <t>instalacion</t>
  </si>
  <si>
    <t>total</t>
  </si>
  <si>
    <t>estado</t>
  </si>
  <si>
    <t>estado_nombre</t>
  </si>
  <si>
    <t>tipo</t>
  </si>
  <si>
    <t>created_at</t>
  </si>
  <si>
    <t>email</t>
  </si>
  <si>
    <t>COT-2026-89460</t>
  </si>
  <si>
    <t>sess_c7q1sfxd5</t>
  </si>
  <si>
    <t>Felipe Castillo</t>
  </si>
  <si>
    <t>16.520.690-8</t>
  </si>
  <si>
    <t>Berta Correa 1725, Huechuraba</t>
  </si>
  <si>
    <t>True</t>
  </si>
  <si>
    <t>valido</t>
  </si>
  <si>
    <t>2026-05-23 14:53:13</t>
  </si>
  <si>
    <t>fcducaud@gmail.com</t>
  </si>
  <si>
    <t>COT-2026-53092</t>
  </si>
  <si>
    <t>2026-05-23 14:49:16</t>
  </si>
  <si>
    <t>COT-2026-84598</t>
  </si>
  <si>
    <t>sess_o1nz2ptyw</t>
  </si>
  <si>
    <t>Andres Romero M</t>
  </si>
  <si>
    <t>14379527-4</t>
  </si>
  <si>
    <t>Suecia 130 Melipilla</t>
  </si>
  <si>
    <t>m2_cero</t>
  </si>
  <si>
    <t>2026-05-19 14:26:28</t>
  </si>
  <si>
    <t>and.romerom@duocuc.cl</t>
  </si>
  <si>
    <t>COT-2026-27980</t>
  </si>
  <si>
    <t>sess_mp70sno07</t>
  </si>
  <si>
    <t>Andres Romero</t>
  </si>
  <si>
    <t>14379698-1</t>
  </si>
  <si>
    <t>Suecia 150</t>
  </si>
  <si>
    <t>2026-05-16 14:52:11</t>
  </si>
  <si>
    <t>COT-2026-91387</t>
  </si>
  <si>
    <t>test-v2-1778798357</t>
  </si>
  <si>
    <t>Pedro Soto</t>
  </si>
  <si>
    <t>9.876.543-2</t>
  </si>
  <si>
    <t>Calle Los Pinos 789, Melipilla</t>
  </si>
  <si>
    <t>test</t>
  </si>
  <si>
    <t>2026-05-14 22:39:55</t>
  </si>
  <si>
    <t>test@email.com</t>
  </si>
  <si>
    <t>COT-2026-30584</t>
  </si>
  <si>
    <t>sess_unel7u7r5</t>
  </si>
  <si>
    <t>Lyam</t>
  </si>
  <si>
    <t>111.111.111-6</t>
  </si>
  <si>
    <t>melipilla</t>
  </si>
  <si>
    <t>2026-05-11 18:57:13</t>
  </si>
  <si>
    <t>l@gmail.com</t>
  </si>
  <si>
    <t>COT-2026-63888</t>
  </si>
  <si>
    <t>test-v2-1778525633</t>
  </si>
  <si>
    <t>2026-05-11 18:54:28</t>
  </si>
  <si>
    <t>COT-2026-78621</t>
  </si>
  <si>
    <t>test-v2-1778525046</t>
  </si>
  <si>
    <t>2026-05-11 18:44:42</t>
  </si>
  <si>
    <t>COT-2026-37247</t>
  </si>
  <si>
    <t>sess_pputsovkp</t>
  </si>
  <si>
    <t>11.111.111-1</t>
  </si>
  <si>
    <t>Melipilla city</t>
  </si>
  <si>
    <t>2026-05-11 15:34:03</t>
  </si>
  <si>
    <t>COT-2026-21586</t>
  </si>
  <si>
    <t>sess_1hzyfc880</t>
  </si>
  <si>
    <t>Perico de los Palotes</t>
  </si>
  <si>
    <t>Seucia 130</t>
  </si>
  <si>
    <t>2026-05-11 03:35:26</t>
  </si>
  <si>
    <t>COT-2026-56768</t>
  </si>
  <si>
    <t>sess_3gqmcqys1</t>
  </si>
  <si>
    <t>Andres Romero Madrid</t>
  </si>
  <si>
    <t>Suecia 130 melipilla</t>
  </si>
  <si>
    <t>pendiente</t>
  </si>
  <si>
    <t>2026-05-11 01:22:42</t>
  </si>
  <si>
    <t>aromero.madrid@gmail.com</t>
  </si>
  <si>
    <t>COT-2026-02754</t>
  </si>
  <si>
    <t>sess_snxpxuwtx</t>
  </si>
  <si>
    <t>Av.suecia 130</t>
  </si>
  <si>
    <t>2026-05-10 23:40:07</t>
  </si>
  <si>
    <t>COT-2026-71006</t>
  </si>
  <si>
    <t>sess_j09hy55hg</t>
  </si>
  <si>
    <t>Reynadlo</t>
  </si>
  <si>
    <t>2222222226</t>
  </si>
  <si>
    <t>vargas sin numero</t>
  </si>
  <si>
    <t>2026-05-09 15:29:35</t>
  </si>
  <si>
    <t>COT-2026-69222</t>
  </si>
  <si>
    <t>sess_wuyzzdlxm</t>
  </si>
  <si>
    <t>gonzalo</t>
  </si>
  <si>
    <t>111.111.111-9</t>
  </si>
  <si>
    <t>2026-05-09 14:34:32</t>
  </si>
  <si>
    <t>COT-2026-95146</t>
  </si>
  <si>
    <t>Carlos Vañderrama</t>
  </si>
  <si>
    <t>12.452.752-4</t>
  </si>
  <si>
    <t>2026-05-09 13:54:59</t>
  </si>
  <si>
    <t>COT-2026-06934</t>
  </si>
  <si>
    <t>sess_fo689qfs9</t>
  </si>
  <si>
    <t>Lisette</t>
  </si>
  <si>
    <t>19.450.753-6</t>
  </si>
  <si>
    <t>2026-05-06 03:43:31</t>
  </si>
  <si>
    <t>COT-2025-0000</t>
  </si>
  <si>
    <t>sess_39lpxv5e4</t>
  </si>
  <si>
    <t>2026-05-06 01:19:55</t>
  </si>
  <si>
    <t>COT-2026-51118</t>
  </si>
  <si>
    <t>Solange</t>
  </si>
  <si>
    <t>123.123.123-2</t>
  </si>
  <si>
    <t>2026-05-05 23:47:35</t>
  </si>
  <si>
    <t>COT-2026-59400</t>
  </si>
  <si>
    <t>2026-05-05 23:02:44</t>
  </si>
  <si>
    <t>COT-2026-0000</t>
  </si>
  <si>
    <t>sess_twyg4abc9</t>
  </si>
  <si>
    <t>2026-05-05 02:48:38</t>
  </si>
  <si>
    <t>COT-2026-13879</t>
  </si>
  <si>
    <t>test-pago-1777947290</t>
  </si>
  <si>
    <t>Ana Test</t>
  </si>
  <si>
    <t>12.345.678-9</t>
  </si>
  <si>
    <t>Av. Principal 123, Melipilla</t>
  </si>
  <si>
    <t>2026-05-05 02:15:17</t>
  </si>
  <si>
    <t>COT-9999-99999</t>
  </si>
  <si>
    <t>p2-1777946699</t>
  </si>
  <si>
    <t>2026-05-05 02:05:04</t>
  </si>
  <si>
    <t>COT-2026-00000</t>
  </si>
  <si>
    <t>test-noexiste-1777946021</t>
  </si>
  <si>
    <t>2026-05-05 01:53:49</t>
  </si>
  <si>
    <t>COT-2026-51114</t>
  </si>
  <si>
    <t>miguel</t>
  </si>
  <si>
    <t>123.123.123-7</t>
  </si>
  <si>
    <t>2026-05-05 01:39:14</t>
  </si>
  <si>
    <t>COT-2026-25070</t>
  </si>
  <si>
    <t>juan</t>
  </si>
  <si>
    <t>123.123.123-9</t>
  </si>
  <si>
    <t>vargas</t>
  </si>
  <si>
    <t>2026-05-05 01:30:28</t>
  </si>
  <si>
    <t>COT-2026-10397</t>
  </si>
  <si>
    <t>sess_ytdj0gxqe</t>
  </si>
  <si>
    <t>111.111.111-1</t>
  </si>
  <si>
    <t>2026-05-05 01:25:13</t>
  </si>
  <si>
    <t>COT-2026-06825</t>
  </si>
  <si>
    <t>martin</t>
  </si>
  <si>
    <t>222.222.222-2</t>
  </si>
  <si>
    <t>2026-05-05 01:21:50</t>
  </si>
  <si>
    <t>COT-2026-61216</t>
  </si>
  <si>
    <t>sess_4zrrfe4w8</t>
  </si>
  <si>
    <t>andres</t>
  </si>
  <si>
    <t>inca</t>
  </si>
  <si>
    <t>2026-05-05 01:11:04</t>
  </si>
  <si>
    <t>COT-2026-39756</t>
  </si>
  <si>
    <t>test-pago-1777943318</t>
  </si>
  <si>
    <t>2026-05-05 01:09:02</t>
  </si>
  <si>
    <t>COT-2026-55374</t>
  </si>
  <si>
    <t>test-pago-1777943227</t>
  </si>
  <si>
    <t>2026-05-05 01:07:38</t>
  </si>
  <si>
    <t>COT-2026-63210</t>
  </si>
  <si>
    <t>test-pago-1777943140</t>
  </si>
  <si>
    <t>2026-05-05 01:06:06</t>
  </si>
  <si>
    <t>COT-2026-05993</t>
  </si>
  <si>
    <t>gon</t>
  </si>
  <si>
    <t>123.123.123-4</t>
  </si>
  <si>
    <t>2026-05-05 00:33:29</t>
  </si>
  <si>
    <t>COT-2026-45572</t>
  </si>
  <si>
    <t>14.123.123-4</t>
  </si>
  <si>
    <t>2026-05-05 00:30:49</t>
  </si>
  <si>
    <t>COT-2026-30177</t>
  </si>
  <si>
    <t>111111111-1</t>
  </si>
  <si>
    <t>2026-05-04 23:52:13</t>
  </si>
  <si>
    <t>COT-2026-45754</t>
  </si>
  <si>
    <t>Gonzalo</t>
  </si>
  <si>
    <t>15.865.999-0</t>
  </si>
  <si>
    <t>2026-05-04 23:40:48</t>
  </si>
  <si>
    <t>COT-2026-39293</t>
  </si>
  <si>
    <t>test-v2-1777937718</t>
  </si>
  <si>
    <t>2026-05-04 23:35:42</t>
  </si>
  <si>
    <t>COT-2026-55735</t>
  </si>
  <si>
    <t>sess_a68n8u63s</t>
  </si>
  <si>
    <t>12.321.321-1</t>
  </si>
  <si>
    <t>2026-05-02 21:42:38</t>
  </si>
  <si>
    <t>COT-2026-85303</t>
  </si>
  <si>
    <t>test-v2-1777757664</t>
  </si>
  <si>
    <t>2026-05-02 21:34:47</t>
  </si>
  <si>
    <t>COT-2026-02966</t>
  </si>
  <si>
    <t>test-v2-1777757283</t>
  </si>
  <si>
    <t>2026-05-02 21:28:25</t>
  </si>
  <si>
    <t>COT-2026-42368</t>
  </si>
  <si>
    <t>test-v2-1777757122</t>
  </si>
  <si>
    <t>2026-05-02 21:25:45</t>
  </si>
  <si>
    <t>COT-2026-47274</t>
  </si>
  <si>
    <t>15.865.789-9</t>
  </si>
  <si>
    <t>2026-05-02 21:17:29</t>
  </si>
  <si>
    <t>COT-2026-87398</t>
  </si>
  <si>
    <t>test-pagar-1</t>
  </si>
  <si>
    <t>Test User</t>
  </si>
  <si>
    <t>1.111.111-1</t>
  </si>
  <si>
    <t>Av. Test 100, Santiago</t>
  </si>
  <si>
    <t>2026-05-02 21:16:29</t>
  </si>
  <si>
    <t>COT-2026-46522</t>
  </si>
  <si>
    <t>test-v2-1777756526</t>
  </si>
  <si>
    <t>2026-05-02 21:15:48</t>
  </si>
  <si>
    <t>COT-2026-72760</t>
  </si>
  <si>
    <t>2026-05-02 21:12:55</t>
  </si>
  <si>
    <t>COT-2026-00841</t>
  </si>
  <si>
    <t>2026-05-02 20:28:23</t>
  </si>
  <si>
    <t>COT-2026-15953</t>
  </si>
  <si>
    <t>test-v2-1777753594</t>
  </si>
  <si>
    <t>2026-05-02 20:26:58</t>
  </si>
  <si>
    <t>COT-2026-41280</t>
  </si>
  <si>
    <t>test-v2-1777753421</t>
  </si>
  <si>
    <t>2026-05-02 20:24:03</t>
  </si>
  <si>
    <t>COT-2026-15101</t>
  </si>
  <si>
    <t>gonzalo carvajal</t>
  </si>
  <si>
    <t>19.450.752-6</t>
  </si>
  <si>
    <t>Pasto Deportivo Fútbol</t>
  </si>
  <si>
    <t>sin_total</t>
  </si>
  <si>
    <t>2026-05-02 20:18:37</t>
  </si>
  <si>
    <t>COT-2026-06032</t>
  </si>
  <si>
    <t>test-v2-1777752985</t>
  </si>
  <si>
    <t>2026-05-02 20:16:48</t>
  </si>
  <si>
    <t>COT-2026-93240</t>
  </si>
  <si>
    <t>test-v2-1777752771</t>
  </si>
  <si>
    <t>—</t>
  </si>
  <si>
    <t>— 0 m²</t>
  </si>
  <si>
    <t>2026-05-02 20:13:15</t>
  </si>
  <si>
    <t>COT-2026-31613</t>
  </si>
  <si>
    <t>test-v2-1777752710</t>
  </si>
  <si>
    <t>2026-05-02 20:12:15</t>
  </si>
  <si>
    <t>✅  VENTAS CONFIRMADAS — 7 registros MercadoPago  ·  Total cobrado: $27,012,400 CLP  ·  Nota: 1 registro tiene m²=0 (precio fijo)</t>
  </si>
  <si>
    <t>2026-05-19 14:28:05</t>
  </si>
  <si>
    <t>2026-05-16 15:45:45</t>
  </si>
  <si>
    <t>2026-05-16 14:56:35</t>
  </si>
  <si>
    <t>2026-05-11 21:21:50</t>
  </si>
  <si>
    <t>2026-05-11 18:57:57</t>
  </si>
  <si>
    <t>2026-05-11 15:35:31</t>
  </si>
  <si>
    <t>2026-05-11 14:56:07</t>
  </si>
  <si>
    <t>⚠  COT-2026-84598 (Andres Romero M): m²=0, total $4.110.000 — posible precio fijo o error de metraje al cargar.</t>
  </si>
  <si>
    <t>TOTAL COBRADO VÍA MERCADOPAGO</t>
  </si>
  <si>
    <t>💬  HISTORIAL DE SESIONES — Tabla: historial  ·  9 sesiones  ·  Agente Queno</t>
  </si>
  <si>
    <t>n_mensajes</t>
  </si>
  <si>
    <t>updated_at</t>
  </si>
  <si>
    <t>primer_mensaje_usuario</t>
  </si>
  <si>
    <t>respuesta_bot</t>
  </si>
  <si>
    <t>test-rls-fix</t>
  </si>
  <si>
    <t>2026-05-02 15:53:54</t>
  </si>
  <si>
    <t>hola</t>
  </si>
  <si>
    <t>sesion-local-001</t>
  </si>
  <si>
    <t>2026-05-02 15:57:18</t>
  </si>
  <si>
    <t>test-direct-123</t>
  </si>
  <si>
    <t>2026-05-02 15:00:00</t>
  </si>
  <si>
    <t>test-fix-v3</t>
  </si>
  <si>
    <t>2026-05-02 16:04:02</t>
  </si>
  <si>
    <t>test-restore-v1</t>
  </si>
  <si>
    <t>2026-05-02 16:24:29</t>
  </si>
  <si>
    <t>test-history-check</t>
  </si>
  <si>
    <t>2026-05-02 16:24:58</t>
  </si>
  <si>
    <t>test-deploy-fix-v2</t>
  </si>
  <si>
    <t>2026-05-02 18:15:57</t>
  </si>
  <si>
    <t>hola, quiero informacion sobre el pasto</t>
  </si>
  <si>
    <t>test-verify-v1</t>
  </si>
  <si>
    <t>2026-05-02 18:17:42</t>
  </si>
  <si>
    <t>hola quiero ver el catalogo</t>
  </si>
  <si>
    <t>test-flujo-estado-v3</t>
  </si>
  <si>
    <t>2026-05-02 18:18:22</t>
  </si>
  <si>
    <t>quiero Luxury Emerald</t>
  </si>
  <si>
    <t>📈  TRATO HECHO — Visualizaciones · C=Confirmado · P=Pendiente · V=Vencida</t>
  </si>
  <si>
    <t>Monto CLP</t>
  </si>
  <si>
    <t>Tipo</t>
  </si>
  <si>
    <t>Completos</t>
  </si>
  <si>
    <t>M2=0</t>
  </si>
  <si>
    <t>Sin total</t>
  </si>
  <si>
    <t>Test/basura</t>
  </si>
  <si>
    <t>Ingresos</t>
  </si>
  <si>
    <t>05-02</t>
  </si>
  <si>
    <t>05-04</t>
  </si>
  <si>
    <t>05-05</t>
  </si>
  <si>
    <t>05-06</t>
  </si>
  <si>
    <t>05-09</t>
  </si>
  <si>
    <t>05-10</t>
  </si>
  <si>
    <t>05-11</t>
  </si>
  <si>
    <t>05-16</t>
  </si>
  <si>
    <t>05-19</t>
  </si>
  <si>
    <t>05-23</t>
  </si>
  <si>
    <t>Cesped Sintetico SpA · Melipilla, Chile  ·  29/05/2026  ·  Fuente: cotizaciones(51) / venta(7) / historial(9)</t>
  </si>
  <si>
    <t>DuocUC · Analista Programador 2026  |  Andres Romero · Manuel Carvajal · Cristofer San Martin  |  Supabase: cotizaciones(51), venta(7), historial(9)  |  2026-05-29</t>
  </si>
  <si>
    <t>Cliente: hola
IA (Queno): ¡Hola! Soy Queno, tu asesor de Césped Sintético ARM en Melipilla 🌱
¿Para qué lo necesitas?
Jardín o terraza
Cancha deportiva (fútbol, tenis, pádel)</t>
  </si>
  <si>
    <t>Cliente: hola
IA (Queno): ¡Hola! 👋 Soy Queno, tu asesor de Césped Sintético ARM en Melipilla.
¿Qué tipo de proyecto tienes en mente?
Jardín o terraza (residencial)
Cancha deportiva (fútbol, tenis o pádel)</t>
  </si>
  <si>
    <t>Cliente: hola
IA (Queno): ¡Hola! 👋 Soy Queno, te ayudo con césped sintético ARM en Melipilla.
¿Para qué lo necesitas?
Jardín o terraza
Cancha deportiva (fútbol, tenis, pádel)</t>
  </si>
  <si>
    <t>Cliente: hola
IA (Queno): ¡Hola! Soy Queno, tu asesor de Césped Sintético ARM en Melipilla 🌱
¿Para qué necesitas el césped?
🏡 Jardín o terraza
⚽ Cancha deportiva</t>
  </si>
  <si>
    <t>Cliente: hola, quiero informacion sobre el pasto
IA (Queno): ¡Hola! 👋
¿Para qué lo necesitas? Jardín/terraza o cancha deportiva (fútbol, tenis, pádel)?</t>
  </si>
  <si>
    <t>Cliente: hola quiero ver el catalogo
IA (Queno): ¡Perfecto! Te muestro nuestras opciones de césped sintético:
JARDÍN / TERRAZA:
• Luxury Emerald 40mm: $28.500/m² (premium)
• Soft Touch 30mm: $22.900/m² (residencial suave)
• Pet-Friendly 35mm: $26.000/m² (mascotas, antimicrobiano)
CANCHAS DEPORTIVAS:
• Fútbol 11 y Fútbol 7: precio a cotizar
• Tenis y Pádel: precio a cotizar
¿Qué uso le darás al césped?</t>
  </si>
  <si>
    <t>Cliente: quiero Luxury Emerald
IA (Queno): ¡Perfecto! El Luxury Emerald (40mm) cuesta $28.500/m2 con IVA.
¿Cuántos metros cuadrados necesitas o cuáles son las dimensiones del área?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</si>
</sst>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$#,##0"/>
    <numFmt numFmtId="165" formatCode="0.0%"/>
    <numFmt numFmtId="166" formatCode="#,##0&quot; m²&quot;"/>
  </numFmts>
  <fonts count="37" x14ac:knownFonts="1">
    <font>
      <sz val="11"/>
      <color theme="1"/>
      <name val="Calibri"/>
      <family val="2"/>
      <charset val="1"/>
    </font>
    <font>
      <b/>
      <sz val="18"/>
      <color rgb="FFFFFFFF"/>
      <name val="Arial"/>
      <charset val="1"/>
    </font>
    <font>
      <i/>
      <sz val="10"/>
      <color rgb="FFBDD7EE"/>
      <name val="Arial"/>
      <charset val="1"/>
    </font>
    <font>
      <b/>
      <sz val="11"/>
      <color rgb="FFFFFFFF"/>
      <name val="Arial"/>
      <charset val="1"/>
    </font>
    <font>
      <b/>
      <sz val="9"/>
      <color rgb="FFFFFFFF"/>
      <name val="Arial"/>
      <charset val="1"/>
    </font>
    <font>
      <b/>
      <sz val="13"/>
      <color rgb="FF375623"/>
      <name val="Arial"/>
      <charset val="1"/>
    </font>
    <font>
      <b/>
      <sz val="10"/>
      <color rgb="FF375623"/>
      <name val="Arial"/>
      <charset val="1"/>
    </font>
    <font>
      <sz val="10"/>
      <color rgb="FF000000"/>
      <name val="Arial"/>
      <charset val="1"/>
    </font>
    <font>
      <sz val="13"/>
      <color rgb="FF375623"/>
      <name val="Arial"/>
      <charset val="1"/>
    </font>
    <font>
      <b/>
      <sz val="13"/>
      <color rgb="FF7F6000"/>
      <name val="Arial"/>
      <charset val="1"/>
    </font>
    <font>
      <b/>
      <sz val="10"/>
      <color rgb="FF7F6000"/>
      <name val="Arial"/>
      <charset val="1"/>
    </font>
    <font>
      <sz val="13"/>
      <color rgb="FF7F6000"/>
      <name val="Arial"/>
      <charset val="1"/>
    </font>
    <font>
      <b/>
      <sz val="13"/>
      <color rgb="FFC00000"/>
      <name val="Arial"/>
      <charset val="1"/>
    </font>
    <font>
      <b/>
      <sz val="10"/>
      <color rgb="FFC00000"/>
      <name val="Arial"/>
      <charset val="1"/>
    </font>
    <font>
      <sz val="13"/>
      <color rgb="FFC00000"/>
      <name val="Arial"/>
      <charset val="1"/>
    </font>
    <font>
      <sz val="9"/>
      <color rgb="FFFFFFFF"/>
      <name val="Arial"/>
      <charset val="1"/>
    </font>
    <font>
      <b/>
      <sz val="22"/>
      <color rgb="FFFFFFFF"/>
      <name val="Arial"/>
      <charset val="1"/>
    </font>
    <font>
      <i/>
      <sz val="8"/>
      <color rgb="FFBDD7EE"/>
      <name val="Arial"/>
      <charset val="1"/>
    </font>
    <font>
      <sz val="10"/>
      <color rgb="FF375623"/>
      <name val="Arial"/>
      <charset val="1"/>
    </font>
    <font>
      <sz val="10"/>
      <color rgb="FF7F6000"/>
      <name val="Arial"/>
      <charset val="1"/>
    </font>
    <font>
      <sz val="10"/>
      <color rgb="FFE67300"/>
      <name val="Arial"/>
      <charset val="1"/>
    </font>
    <font>
      <sz val="10"/>
      <color rgb="FFC00000"/>
      <name val="Arial"/>
      <charset val="1"/>
    </font>
    <font>
      <b/>
      <sz val="10"/>
      <color rgb="FFFFFFFF"/>
      <name val="Arial"/>
      <charset val="1"/>
    </font>
    <font>
      <sz val="10"/>
      <color rgb="FFFFFFFF"/>
      <name val="Arial"/>
      <charset val="1"/>
    </font>
    <font>
      <sz val="9"/>
      <color rgb="FFBDD7EE"/>
      <name val="Arial"/>
      <charset val="1"/>
    </font>
    <font>
      <sz val="9"/>
      <color rgb="FF1D9E75"/>
      <name val="Arial"/>
      <charset val="1"/>
    </font>
    <font>
      <sz val="9"/>
      <color rgb="FF2E75B6"/>
      <name val="Arial"/>
      <charset val="1"/>
    </font>
    <font>
      <i/>
      <sz val="8"/>
      <color rgb="FF808080"/>
      <name val="Arial"/>
      <charset val="1"/>
    </font>
    <font>
      <sz val="9"/>
      <color rgb="FF000000"/>
      <name val="Arial"/>
      <charset val="1"/>
    </font>
    <font>
      <b/>
      <sz val="9"/>
      <color rgb="FF7F6000"/>
      <name val="Arial"/>
      <charset val="1"/>
    </font>
    <font>
      <b/>
      <sz val="9"/>
      <color rgb="FF375623"/>
      <name val="Arial"/>
      <charset val="1"/>
    </font>
    <font>
      <b/>
      <sz val="9"/>
      <color rgb="FFC00000"/>
      <name val="Arial"/>
      <charset val="1"/>
    </font>
    <font>
      <b/>
      <sz val="9"/>
      <color rgb="FFE67300"/>
      <name val="Arial"/>
      <charset val="1"/>
    </font>
    <font>
      <i/>
      <sz val="9"/>
      <color rgb="FFE67300"/>
      <name val="Arial"/>
      <charset val="1"/>
    </font>
    <font>
      <b/>
      <sz val="12"/>
      <color rgb="FFFFFFFF"/>
      <name val="Arial"/>
      <charset val="1"/>
    </font>
    <font>
      <b/>
      <sz val="13"/>
      <color rgb="FFFFFFFF"/>
      <name val="Arial"/>
      <charset val="1"/>
    </font>
    <font>
      <b/>
      <sz val="8"/>
      <color rgb="FFFFFFFF"/>
      <name val="Arial"/>
      <charset val="1"/>
    </font>
  </fonts>
  <fills count="21">
    <fill>
      <patternFill patternType="none"/>
    </fill>
    <fill>
      <patternFill patternType="gray125"/>
    </fill>
    <fill>
      <patternFill patternType="solid">
        <fgColor rgb="FF1F497D"/>
        <bgColor rgb="FF003366"/>
      </patternFill>
    </fill>
    <fill>
      <patternFill patternType="solid">
        <fgColor rgb="FF404040"/>
        <bgColor rgb="FF375623"/>
      </patternFill>
    </fill>
    <fill>
      <patternFill patternType="solid">
        <fgColor rgb="FFC6EFCE"/>
        <bgColor rgb="FFDEEAF1"/>
      </patternFill>
    </fill>
    <fill>
      <patternFill patternType="solid">
        <fgColor rgb="FFFFF2CC"/>
        <bgColor rgb="FFF2F2F2"/>
      </patternFill>
    </fill>
    <fill>
      <patternFill patternType="solid">
        <fgColor rgb="FFFFC7CE"/>
        <bgColor rgb="FFFFDAB9"/>
      </patternFill>
    </fill>
    <fill>
      <patternFill patternType="solid">
        <fgColor rgb="FF2E75B6"/>
        <bgColor rgb="FF4F81BD"/>
      </patternFill>
    </fill>
    <fill>
      <patternFill patternType="solid">
        <fgColor rgb="FFF2F2F2"/>
        <bgColor rgb="FFE8F4FD"/>
      </patternFill>
    </fill>
    <fill>
      <patternFill patternType="solid">
        <fgColor rgb="FF1D9E75"/>
        <bgColor rgb="FF008080"/>
      </patternFill>
    </fill>
    <fill>
      <patternFill patternType="solid">
        <fgColor rgb="FF7F6000"/>
        <bgColor rgb="FF595959"/>
      </patternFill>
    </fill>
    <fill>
      <patternFill patternType="solid">
        <fgColor rgb="FFC00000"/>
        <bgColor rgb="FF800000"/>
      </patternFill>
    </fill>
    <fill>
      <patternFill patternType="solid">
        <fgColor rgb="FF375623"/>
        <bgColor rgb="FF404040"/>
      </patternFill>
    </fill>
    <fill>
      <patternFill patternType="solid">
        <fgColor rgb="FF595959"/>
        <bgColor rgb="FF404040"/>
      </patternFill>
    </fill>
    <fill>
      <patternFill patternType="solid">
        <fgColor rgb="FFFFDAB9"/>
        <bgColor rgb="FFFFC7CE"/>
      </patternFill>
    </fill>
    <fill>
      <patternFill patternType="solid">
        <fgColor rgb="FFDEEAF1"/>
        <bgColor rgb="FFE8F4FD"/>
      </patternFill>
    </fill>
    <fill>
      <patternFill patternType="solid">
        <fgColor rgb="FFE8D5F5"/>
        <bgColor rgb="FFD9D9D9"/>
      </patternFill>
    </fill>
    <fill>
      <patternFill patternType="solid">
        <fgColor rgb="FFE8F4FD"/>
        <bgColor rgb="FFF2F2F2"/>
      </patternFill>
    </fill>
    <fill>
      <patternFill patternType="solid">
        <fgColor rgb="FFE67300"/>
        <bgColor rgb="FFFF9900"/>
      </patternFill>
    </fill>
    <fill>
      <patternFill patternType="solid">
        <fgColor rgb="FFFFFFFF"/>
        <bgColor rgb="FFF9F9F9"/>
      </patternFill>
    </fill>
    <fill>
      <patternFill patternType="solid">
        <fgColor rgb="FF7030A0"/>
        <bgColor rgb="FF800080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 style="thin">
        <color rgb="FFBFBFBF"/>
      </bottom>
      <diagonal/>
    </border>
  </borders>
  <cellStyleXfs count="1">
    <xf numFmtId="0" fontId="0" fillId="0" borderId="0"/>
  </cellStyleXfs>
  <cellXfs count="143">
    <xf numFmtId="0" fontId="0" fillId="0" borderId="0" xfId="0"/>
    <xf numFmtId="0" fontId="7" fillId="14" borderId="1" xfId="0" applyFont="1" applyFill="1" applyBorder="1" applyAlignment="1">
      <alignment horizontal="left" vertical="center"/>
    </xf>
    <xf numFmtId="0" fontId="3" fillId="13" borderId="0" xfId="0" applyFont="1" applyFill="1" applyAlignment="1">
      <alignment horizontal="left" vertical="center"/>
    </xf>
    <xf numFmtId="0" fontId="17" fillId="2" borderId="0" xfId="0" applyFont="1" applyFill="1" applyAlignment="1">
      <alignment horizontal="left" vertical="center"/>
    </xf>
    <xf numFmtId="0" fontId="16" fillId="2" borderId="0" xfId="0" applyFont="1" applyFill="1" applyAlignment="1">
      <alignment horizontal="left" vertical="center"/>
    </xf>
    <xf numFmtId="0" fontId="15" fillId="2" borderId="0" xfId="0" applyFont="1" applyFill="1" applyAlignment="1">
      <alignment horizontal="left" vertical="center"/>
    </xf>
    <xf numFmtId="0" fontId="3" fillId="7" borderId="0" xfId="0" applyFont="1" applyFill="1" applyAlignment="1">
      <alignment horizontal="left" vertical="center"/>
    </xf>
    <xf numFmtId="0" fontId="7" fillId="6" borderId="1" xfId="0" applyFont="1" applyFill="1" applyBorder="1" applyAlignment="1">
      <alignment horizontal="left" vertical="center"/>
    </xf>
    <xf numFmtId="0" fontId="7" fillId="5" borderId="1" xfId="0" applyFont="1" applyFill="1" applyBorder="1" applyAlignment="1">
      <alignment horizontal="left" vertical="center"/>
    </xf>
    <xf numFmtId="0" fontId="7" fillId="4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0" fontId="2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2" borderId="0" xfId="0" applyFill="1"/>
    <xf numFmtId="0" fontId="4" fillId="3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left" vertical="center"/>
    </xf>
    <xf numFmtId="0" fontId="8" fillId="4" borderId="1" xfId="0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left" vertical="center"/>
    </xf>
    <xf numFmtId="0" fontId="11" fillId="5" borderId="1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0" fontId="13" fillId="6" borderId="1" xfId="0" applyFont="1" applyFill="1" applyBorder="1" applyAlignment="1">
      <alignment horizontal="center" vertical="center"/>
    </xf>
    <xf numFmtId="0" fontId="14" fillId="6" borderId="1" xfId="0" applyFont="1" applyFill="1" applyBorder="1" applyAlignment="1">
      <alignment horizontal="center" vertical="center"/>
    </xf>
    <xf numFmtId="0" fontId="0" fillId="8" borderId="0" xfId="0" applyFill="1"/>
    <xf numFmtId="0" fontId="15" fillId="7" borderId="0" xfId="0" applyFont="1" applyFill="1" applyAlignment="1">
      <alignment horizontal="left" vertical="center"/>
    </xf>
    <xf numFmtId="0" fontId="15" fillId="9" borderId="0" xfId="0" applyFont="1" applyFill="1" applyAlignment="1">
      <alignment horizontal="left" vertical="center"/>
    </xf>
    <xf numFmtId="0" fontId="15" fillId="10" borderId="0" xfId="0" applyFont="1" applyFill="1" applyAlignment="1">
      <alignment horizontal="left" vertical="center"/>
    </xf>
    <xf numFmtId="0" fontId="15" fillId="11" borderId="0" xfId="0" applyFont="1" applyFill="1" applyAlignment="1">
      <alignment horizontal="left" vertical="center"/>
    </xf>
    <xf numFmtId="0" fontId="15" fillId="12" borderId="0" xfId="0" applyFont="1" applyFill="1" applyAlignment="1">
      <alignment horizontal="left" vertical="center"/>
    </xf>
    <xf numFmtId="0" fontId="16" fillId="7" borderId="0" xfId="0" applyFont="1" applyFill="1" applyAlignment="1">
      <alignment horizontal="left" vertical="center"/>
    </xf>
    <xf numFmtId="0" fontId="16" fillId="9" borderId="0" xfId="0" applyFont="1" applyFill="1" applyAlignment="1">
      <alignment horizontal="left" vertical="center"/>
    </xf>
    <xf numFmtId="0" fontId="16" fillId="10" borderId="0" xfId="0" applyFont="1" applyFill="1" applyAlignment="1">
      <alignment horizontal="left" vertical="center"/>
    </xf>
    <xf numFmtId="0" fontId="16" fillId="11" borderId="0" xfId="0" applyFont="1" applyFill="1" applyAlignment="1">
      <alignment horizontal="left" vertical="center"/>
    </xf>
    <xf numFmtId="164" fontId="16" fillId="12" borderId="0" xfId="0" applyNumberFormat="1" applyFont="1" applyFill="1" applyAlignment="1">
      <alignment horizontal="left" vertical="center"/>
    </xf>
    <xf numFmtId="0" fontId="17" fillId="7" borderId="0" xfId="0" applyFont="1" applyFill="1" applyAlignment="1">
      <alignment horizontal="left" vertical="center"/>
    </xf>
    <xf numFmtId="0" fontId="17" fillId="9" borderId="0" xfId="0" applyFont="1" applyFill="1" applyAlignment="1">
      <alignment horizontal="left" vertical="center"/>
    </xf>
    <xf numFmtId="0" fontId="17" fillId="10" borderId="0" xfId="0" applyFont="1" applyFill="1" applyAlignment="1">
      <alignment horizontal="left" vertical="center"/>
    </xf>
    <xf numFmtId="0" fontId="17" fillId="11" borderId="0" xfId="0" applyFont="1" applyFill="1" applyAlignment="1">
      <alignment horizontal="left" vertical="center"/>
    </xf>
    <xf numFmtId="0" fontId="17" fillId="12" borderId="0" xfId="0" applyFont="1" applyFill="1" applyAlignment="1">
      <alignment horizontal="left" vertical="center"/>
    </xf>
    <xf numFmtId="0" fontId="0" fillId="7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18" fillId="4" borderId="1" xfId="0" applyFont="1" applyFill="1" applyBorder="1" applyAlignment="1">
      <alignment horizontal="left" vertical="center"/>
    </xf>
    <xf numFmtId="0" fontId="7" fillId="4" borderId="1" xfId="0" applyFont="1" applyFill="1" applyBorder="1" applyAlignment="1">
      <alignment horizontal="center" vertical="center"/>
    </xf>
    <xf numFmtId="165" fontId="7" fillId="4" borderId="1" xfId="0" applyNumberFormat="1" applyFont="1" applyFill="1" applyBorder="1" applyAlignment="1">
      <alignment horizontal="center" vertical="center"/>
    </xf>
    <xf numFmtId="0" fontId="19" fillId="5" borderId="1" xfId="0" applyFont="1" applyFill="1" applyBorder="1" applyAlignment="1">
      <alignment horizontal="left" vertical="center"/>
    </xf>
    <xf numFmtId="0" fontId="7" fillId="5" borderId="1" xfId="0" applyFont="1" applyFill="1" applyBorder="1" applyAlignment="1">
      <alignment horizontal="center" vertical="center"/>
    </xf>
    <xf numFmtId="165" fontId="7" fillId="5" borderId="1" xfId="0" applyNumberFormat="1" applyFont="1" applyFill="1" applyBorder="1" applyAlignment="1">
      <alignment horizontal="center" vertical="center"/>
    </xf>
    <xf numFmtId="0" fontId="20" fillId="14" borderId="1" xfId="0" applyFont="1" applyFill="1" applyBorder="1" applyAlignment="1">
      <alignment horizontal="left" vertical="center"/>
    </xf>
    <xf numFmtId="0" fontId="7" fillId="14" borderId="1" xfId="0" applyFont="1" applyFill="1" applyBorder="1" applyAlignment="1">
      <alignment horizontal="center" vertical="center"/>
    </xf>
    <xf numFmtId="165" fontId="7" fillId="14" borderId="1" xfId="0" applyNumberFormat="1" applyFont="1" applyFill="1" applyBorder="1" applyAlignment="1">
      <alignment horizontal="center" vertical="center"/>
    </xf>
    <xf numFmtId="0" fontId="7" fillId="14" borderId="1" xfId="0" applyFont="1" applyFill="1" applyBorder="1" applyAlignment="1">
      <alignment horizontal="left" vertical="center"/>
    </xf>
    <xf numFmtId="0" fontId="21" fillId="6" borderId="1" xfId="0" applyFont="1" applyFill="1" applyBorder="1" applyAlignment="1">
      <alignment horizontal="left" vertical="center"/>
    </xf>
    <xf numFmtId="0" fontId="7" fillId="6" borderId="1" xfId="0" applyFont="1" applyFill="1" applyBorder="1" applyAlignment="1">
      <alignment horizontal="center" vertical="center"/>
    </xf>
    <xf numFmtId="165" fontId="7" fillId="6" borderId="1" xfId="0" applyNumberFormat="1" applyFont="1" applyFill="1" applyBorder="1" applyAlignment="1">
      <alignment horizontal="center" vertical="center"/>
    </xf>
    <xf numFmtId="0" fontId="22" fillId="2" borderId="1" xfId="0" applyFont="1" applyFill="1" applyBorder="1" applyAlignment="1">
      <alignment horizontal="left" vertical="center"/>
    </xf>
    <xf numFmtId="0" fontId="22" fillId="2" borderId="1" xfId="0" applyFont="1" applyFill="1" applyBorder="1" applyAlignment="1">
      <alignment horizontal="center" vertical="center"/>
    </xf>
    <xf numFmtId="165" fontId="22" fillId="2" borderId="1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164" fontId="7" fillId="4" borderId="1" xfId="0" applyNumberFormat="1" applyFont="1" applyFill="1" applyBorder="1" applyAlignment="1">
      <alignment horizontal="center" vertical="center"/>
    </xf>
    <xf numFmtId="164" fontId="7" fillId="5" borderId="1" xfId="0" applyNumberFormat="1" applyFont="1" applyFill="1" applyBorder="1" applyAlignment="1">
      <alignment horizontal="center" vertical="center"/>
    </xf>
    <xf numFmtId="164" fontId="7" fillId="6" borderId="1" xfId="0" applyNumberFormat="1" applyFont="1" applyFill="1" applyBorder="1" applyAlignment="1">
      <alignment horizontal="center" vertical="center"/>
    </xf>
    <xf numFmtId="164" fontId="22" fillId="2" borderId="1" xfId="0" applyNumberFormat="1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0" fontId="7" fillId="15" borderId="1" xfId="0" applyFont="1" applyFill="1" applyBorder="1" applyAlignment="1">
      <alignment horizontal="left" vertical="center"/>
    </xf>
    <xf numFmtId="0" fontId="7" fillId="15" borderId="1" xfId="0" applyFont="1" applyFill="1" applyBorder="1" applyAlignment="1">
      <alignment horizontal="center" vertical="center"/>
    </xf>
    <xf numFmtId="166" fontId="7" fillId="15" borderId="1" xfId="0" applyNumberFormat="1" applyFont="1" applyFill="1" applyBorder="1" applyAlignment="1">
      <alignment horizontal="center" vertical="center"/>
    </xf>
    <xf numFmtId="164" fontId="7" fillId="15" borderId="1" xfId="0" applyNumberFormat="1" applyFont="1" applyFill="1" applyBorder="1" applyAlignment="1">
      <alignment horizontal="center" vertical="center"/>
    </xf>
    <xf numFmtId="166" fontId="7" fillId="4" borderId="1" xfId="0" applyNumberFormat="1" applyFont="1" applyFill="1" applyBorder="1" applyAlignment="1">
      <alignment horizontal="center" vertical="center"/>
    </xf>
    <xf numFmtId="166" fontId="7" fillId="5" borderId="1" xfId="0" applyNumberFormat="1" applyFont="1" applyFill="1" applyBorder="1" applyAlignment="1">
      <alignment horizontal="center" vertical="center"/>
    </xf>
    <xf numFmtId="166" fontId="7" fillId="14" borderId="1" xfId="0" applyNumberFormat="1" applyFont="1" applyFill="1" applyBorder="1" applyAlignment="1">
      <alignment horizontal="center" vertical="center"/>
    </xf>
    <xf numFmtId="164" fontId="7" fillId="14" borderId="1" xfId="0" applyNumberFormat="1" applyFont="1" applyFill="1" applyBorder="1" applyAlignment="1">
      <alignment horizontal="center" vertical="center"/>
    </xf>
    <xf numFmtId="0" fontId="7" fillId="16" borderId="1" xfId="0" applyFont="1" applyFill="1" applyBorder="1" applyAlignment="1">
      <alignment horizontal="left" vertical="center"/>
    </xf>
    <xf numFmtId="0" fontId="7" fillId="16" borderId="1" xfId="0" applyFont="1" applyFill="1" applyBorder="1" applyAlignment="1">
      <alignment horizontal="center" vertical="center"/>
    </xf>
    <xf numFmtId="166" fontId="7" fillId="16" borderId="1" xfId="0" applyNumberFormat="1" applyFont="1" applyFill="1" applyBorder="1" applyAlignment="1">
      <alignment horizontal="center" vertical="center"/>
    </xf>
    <xf numFmtId="164" fontId="7" fillId="16" borderId="1" xfId="0" applyNumberFormat="1" applyFont="1" applyFill="1" applyBorder="1" applyAlignment="1">
      <alignment horizontal="center" vertical="center"/>
    </xf>
    <xf numFmtId="0" fontId="7" fillId="17" borderId="1" xfId="0" applyFont="1" applyFill="1" applyBorder="1" applyAlignment="1">
      <alignment horizontal="left" vertical="center"/>
    </xf>
    <xf numFmtId="0" fontId="7" fillId="17" borderId="1" xfId="0" applyFont="1" applyFill="1" applyBorder="1" applyAlignment="1">
      <alignment horizontal="center" vertical="center"/>
    </xf>
    <xf numFmtId="166" fontId="7" fillId="17" borderId="1" xfId="0" applyNumberFormat="1" applyFont="1" applyFill="1" applyBorder="1" applyAlignment="1">
      <alignment horizontal="center" vertical="center"/>
    </xf>
    <xf numFmtId="164" fontId="7" fillId="17" borderId="1" xfId="0" applyNumberFormat="1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left" vertical="center"/>
    </xf>
    <xf numFmtId="0" fontId="7" fillId="8" borderId="1" xfId="0" applyFont="1" applyFill="1" applyBorder="1" applyAlignment="1">
      <alignment horizontal="center" vertical="center"/>
    </xf>
    <xf numFmtId="166" fontId="7" fillId="8" borderId="1" xfId="0" applyNumberFormat="1" applyFont="1" applyFill="1" applyBorder="1" applyAlignment="1">
      <alignment horizontal="center" vertical="center"/>
    </xf>
    <xf numFmtId="164" fontId="7" fillId="8" borderId="1" xfId="0" applyNumberFormat="1" applyFont="1" applyFill="1" applyBorder="1" applyAlignment="1">
      <alignment horizontal="center" vertical="center"/>
    </xf>
    <xf numFmtId="0" fontId="22" fillId="9" borderId="1" xfId="0" applyFont="1" applyFill="1" applyBorder="1" applyAlignment="1">
      <alignment horizontal="center" vertical="center"/>
    </xf>
    <xf numFmtId="166" fontId="22" fillId="9" borderId="1" xfId="0" applyNumberFormat="1" applyFont="1" applyFill="1" applyBorder="1" applyAlignment="1">
      <alignment horizontal="center" vertical="center"/>
    </xf>
    <xf numFmtId="164" fontId="22" fillId="9" borderId="1" xfId="0" applyNumberFormat="1" applyFont="1" applyFill="1" applyBorder="1" applyAlignment="1">
      <alignment horizontal="center" vertical="center"/>
    </xf>
    <xf numFmtId="0" fontId="4" fillId="18" borderId="1" xfId="0" applyFont="1" applyFill="1" applyBorder="1" applyAlignment="1">
      <alignment horizontal="center" vertical="center"/>
    </xf>
    <xf numFmtId="0" fontId="7" fillId="19" borderId="1" xfId="0" applyFont="1" applyFill="1" applyBorder="1" applyAlignment="1">
      <alignment horizontal="center" vertical="center"/>
    </xf>
    <xf numFmtId="164" fontId="7" fillId="19" borderId="1" xfId="0" applyNumberFormat="1" applyFont="1" applyFill="1" applyBorder="1" applyAlignment="1">
      <alignment horizontal="center" vertical="center"/>
    </xf>
    <xf numFmtId="165" fontId="7" fillId="19" borderId="1" xfId="0" applyNumberFormat="1" applyFont="1" applyFill="1" applyBorder="1" applyAlignment="1">
      <alignment horizontal="center" vertical="center"/>
    </xf>
    <xf numFmtId="0" fontId="24" fillId="19" borderId="0" xfId="0" applyFont="1" applyFill="1" applyAlignment="1">
      <alignment horizontal="left" vertical="center"/>
    </xf>
    <xf numFmtId="165" fontId="7" fillId="8" borderId="1" xfId="0" applyNumberFormat="1" applyFont="1" applyFill="1" applyBorder="1" applyAlignment="1">
      <alignment horizontal="center" vertical="center"/>
    </xf>
    <xf numFmtId="0" fontId="25" fillId="8" borderId="0" xfId="0" applyFont="1" applyFill="1" applyAlignment="1">
      <alignment horizontal="left" vertical="center"/>
    </xf>
    <xf numFmtId="0" fontId="25" fillId="19" borderId="0" xfId="0" applyFont="1" applyFill="1" applyAlignment="1">
      <alignment horizontal="left" vertical="center"/>
    </xf>
    <xf numFmtId="0" fontId="24" fillId="8" borderId="0" xfId="0" applyFont="1" applyFill="1" applyAlignment="1">
      <alignment horizontal="left" vertical="center"/>
    </xf>
    <xf numFmtId="0" fontId="26" fillId="19" borderId="0" xfId="0" applyFont="1" applyFill="1" applyAlignment="1">
      <alignment horizontal="left" vertical="center"/>
    </xf>
    <xf numFmtId="0" fontId="22" fillId="18" borderId="1" xfId="0" applyFont="1" applyFill="1" applyBorder="1" applyAlignment="1">
      <alignment horizontal="center" vertical="center"/>
    </xf>
    <xf numFmtId="164" fontId="22" fillId="18" borderId="1" xfId="0" applyNumberFormat="1" applyFont="1" applyFill="1" applyBorder="1" applyAlignment="1">
      <alignment horizontal="center" vertical="center"/>
    </xf>
    <xf numFmtId="165" fontId="22" fillId="18" borderId="1" xfId="0" applyNumberFormat="1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28" fillId="19" borderId="1" xfId="0" applyFont="1" applyFill="1" applyBorder="1" applyAlignment="1">
      <alignment horizontal="center" vertical="center"/>
    </xf>
    <xf numFmtId="0" fontId="28" fillId="19" borderId="1" xfId="0" applyFont="1" applyFill="1" applyBorder="1" applyAlignment="1">
      <alignment horizontal="left" vertical="center"/>
    </xf>
    <xf numFmtId="164" fontId="28" fillId="19" borderId="1" xfId="0" applyNumberFormat="1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30" fillId="4" borderId="1" xfId="0" applyFont="1" applyFill="1" applyBorder="1" applyAlignment="1">
      <alignment horizontal="left" vertical="center"/>
    </xf>
    <xf numFmtId="0" fontId="28" fillId="8" borderId="1" xfId="0" applyFont="1" applyFill="1" applyBorder="1" applyAlignment="1">
      <alignment horizontal="center" vertical="center"/>
    </xf>
    <xf numFmtId="0" fontId="28" fillId="8" borderId="1" xfId="0" applyFont="1" applyFill="1" applyBorder="1" applyAlignment="1">
      <alignment horizontal="left" vertical="center"/>
    </xf>
    <xf numFmtId="164" fontId="28" fillId="8" borderId="1" xfId="0" applyNumberFormat="1" applyFont="1" applyFill="1" applyBorder="1" applyAlignment="1">
      <alignment horizontal="center" vertical="center"/>
    </xf>
    <xf numFmtId="0" fontId="30" fillId="4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left" vertical="center"/>
    </xf>
    <xf numFmtId="0" fontId="31" fillId="6" borderId="1" xfId="0" applyFont="1" applyFill="1" applyBorder="1" applyAlignment="1">
      <alignment horizontal="left" vertical="center"/>
    </xf>
    <xf numFmtId="0" fontId="31" fillId="6" borderId="1" xfId="0" applyFont="1" applyFill="1" applyBorder="1" applyAlignment="1">
      <alignment horizontal="center" vertical="center"/>
    </xf>
    <xf numFmtId="0" fontId="32" fillId="14" borderId="1" xfId="0" applyFont="1" applyFill="1" applyBorder="1" applyAlignment="1">
      <alignment horizontal="left" vertical="center"/>
    </xf>
    <xf numFmtId="0" fontId="31" fillId="14" borderId="1" xfId="0" applyFont="1" applyFill="1" applyBorder="1" applyAlignment="1">
      <alignment horizontal="center" vertical="center"/>
    </xf>
    <xf numFmtId="0" fontId="28" fillId="4" borderId="1" xfId="0" applyFont="1" applyFill="1" applyBorder="1" applyAlignment="1">
      <alignment horizontal="center" vertical="center"/>
    </xf>
    <xf numFmtId="0" fontId="28" fillId="4" borderId="1" xfId="0" applyFont="1" applyFill="1" applyBorder="1" applyAlignment="1">
      <alignment horizontal="left" vertical="center"/>
    </xf>
    <xf numFmtId="164" fontId="28" fillId="4" borderId="1" xfId="0" applyNumberFormat="1" applyFont="1" applyFill="1" applyBorder="1" applyAlignment="1">
      <alignment horizontal="center" vertical="center"/>
    </xf>
    <xf numFmtId="0" fontId="0" fillId="9" borderId="1" xfId="0" applyFill="1" applyBorder="1"/>
    <xf numFmtId="0" fontId="4" fillId="20" borderId="1" xfId="0" applyFont="1" applyFill="1" applyBorder="1" applyAlignment="1">
      <alignment horizontal="center" vertical="center"/>
    </xf>
    <xf numFmtId="0" fontId="28" fillId="19" borderId="1" xfId="0" applyFont="1" applyFill="1" applyBorder="1" applyAlignment="1">
      <alignment horizontal="left" vertical="center" wrapText="1"/>
    </xf>
    <xf numFmtId="0" fontId="28" fillId="16" borderId="1" xfId="0" applyFont="1" applyFill="1" applyBorder="1" applyAlignment="1">
      <alignment horizontal="center" vertical="center"/>
    </xf>
    <xf numFmtId="0" fontId="28" fillId="16" borderId="1" xfId="0" applyFont="1" applyFill="1" applyBorder="1" applyAlignment="1">
      <alignment horizontal="left" vertical="center" wrapText="1"/>
    </xf>
    <xf numFmtId="0" fontId="36" fillId="2" borderId="0" xfId="0" applyFont="1" applyFill="1"/>
    <xf numFmtId="0" fontId="36" fillId="3" borderId="0" xfId="0" applyFont="1" applyFill="1"/>
    <xf numFmtId="0" fontId="36" fillId="9" borderId="0" xfId="0" applyFont="1" applyFill="1"/>
    <xf numFmtId="0" fontId="36" fillId="18" borderId="0" xfId="0" applyFont="1" applyFill="1"/>
    <xf numFmtId="0" fontId="2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22" fillId="2" borderId="1" xfId="0" applyFont="1" applyFill="1" applyBorder="1" applyAlignment="1">
      <alignment horizontal="center" vertical="center"/>
    </xf>
    <xf numFmtId="0" fontId="3" fillId="9" borderId="0" xfId="0" applyFont="1" applyFill="1" applyAlignment="1">
      <alignment horizontal="left" vertical="center"/>
    </xf>
    <xf numFmtId="0" fontId="3" fillId="18" borderId="0" xfId="0" applyFont="1" applyFill="1" applyAlignment="1">
      <alignment horizontal="left" vertical="center"/>
    </xf>
    <xf numFmtId="0" fontId="27" fillId="8" borderId="0" xfId="0" applyFont="1" applyFill="1" applyAlignment="1">
      <alignment horizontal="center" vertical="center"/>
    </xf>
    <xf numFmtId="0" fontId="33" fillId="14" borderId="0" xfId="0" applyFont="1" applyFill="1" applyAlignment="1">
      <alignment horizontal="left" vertical="center" wrapText="1"/>
    </xf>
    <xf numFmtId="0" fontId="34" fillId="20" borderId="2" xfId="0" applyFont="1" applyFill="1" applyBorder="1" applyAlignment="1">
      <alignment horizontal="center" vertical="center"/>
    </xf>
    <xf numFmtId="0" fontId="3" fillId="9" borderId="2" xfId="0" applyFont="1" applyFill="1" applyBorder="1" applyAlignment="1">
      <alignment horizontal="center" vertical="center"/>
    </xf>
    <xf numFmtId="0" fontId="35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9F9F9"/>
      <rgbColor rgb="FFFF00FF"/>
      <rgbColor rgb="FF00FFFF"/>
      <rgbColor rgb="FF800000"/>
      <rgbColor rgb="FF008000"/>
      <rgbColor rgb="FF000080"/>
      <rgbColor rgb="FF7F6000"/>
      <rgbColor rgb="FF800080"/>
      <rgbColor rgb="FF4F81BD"/>
      <rgbColor rgb="FFBFBFBF"/>
      <rgbColor rgb="FF808080"/>
      <rgbColor rgb="FF9999FF"/>
      <rgbColor rgb="FF7030A0"/>
      <rgbColor rgb="FFFFF2CC"/>
      <rgbColor rgb="FFE8F4FD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EEAF1"/>
      <rgbColor rgb="FFC6EFCE"/>
      <rgbColor rgb="FFF2F2F2"/>
      <rgbColor rgb="FFD9D9D9"/>
      <rgbColor rgb="FFFFC7CE"/>
      <rgbColor rgb="FFE8D5F5"/>
      <rgbColor rgb="FFFFDAB9"/>
      <rgbColor rgb="FF2E75B6"/>
      <rgbColor rgb="FF33CCCC"/>
      <rgbColor rgb="FF9BBB59"/>
      <rgbColor rgb="FFFFCC00"/>
      <rgbColor rgb="FFFF9900"/>
      <rgbColor rgb="FFE67300"/>
      <rgbColor rgb="FF8064A2"/>
      <rgbColor rgb="FF878787"/>
      <rgbColor rgb="FF003366"/>
      <rgbColor rgb="FF1D9E75"/>
      <rgbColor rgb="FF003300"/>
      <rgbColor rgb="FF375623"/>
      <rgbColor rgb="FF595959"/>
      <rgbColor rgb="FFC0504D"/>
      <rgbColor rgb="FF1F497D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s-CL" sz="1800" b="1" strike="noStrike" spc="-1">
                <a:solidFill>
                  <a:srgbClr val="000000"/>
                </a:solidFill>
                <a:latin typeface="Calibri"/>
              </a:rPr>
              <a:t>Distribucion por Estado (registros reales)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'📈 Gráficos'!$B$3</c:f>
              <c:strCache>
                <c:ptCount val="1"/>
                <c:pt idx="0">
                  <c:v>Cantidad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dPt>
            <c:idx val="0"/>
            <c:bubble3D val="0"/>
            <c:spPr>
              <a:solidFill>
                <a:srgbClr val="4F81BD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1-90C4-4038-B8CF-6FD8341A0C59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3-90C4-4038-B8CF-6FD8341A0C59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5-90C4-4038-B8CF-6FD8341A0C59}"/>
              </c:ext>
            </c:extLst>
          </c:dPt>
          <c:dLbls>
            <c:dLbl>
              <c:idx val="0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s-CL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1-90C4-4038-B8CF-6FD8341A0C59}"/>
                </c:ext>
              </c:extLst>
            </c:dLbl>
            <c:dLbl>
              <c:idx val="1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s-CL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3-90C4-4038-B8CF-6FD8341A0C59}"/>
                </c:ext>
              </c:extLst>
            </c:dLbl>
            <c:dLbl>
              <c:idx val="2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s-CL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5-90C4-4038-B8CF-6FD8341A0C5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CL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'📈 Gráficos'!$A$4:$A$6</c:f>
              <c:strCache>
                <c:ptCount val="3"/>
                <c:pt idx="0">
                  <c:v>Confirmado</c:v>
                </c:pt>
                <c:pt idx="1">
                  <c:v>Pendiente</c:v>
                </c:pt>
                <c:pt idx="2">
                  <c:v>Vencida</c:v>
                </c:pt>
              </c:strCache>
            </c:strRef>
          </c:cat>
          <c:val>
            <c:numRef>
              <c:f>'📈 Gráficos'!$B$4:$B$6</c:f>
              <c:numCache>
                <c:formatCode>General</c:formatCode>
                <c:ptCount val="3"/>
                <c:pt idx="0">
                  <c:v>4</c:v>
                </c:pt>
                <c:pt idx="1">
                  <c:v>4</c:v>
                </c:pt>
                <c:pt idx="2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0C4-4038-B8CF-6FD8341A0C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s-CL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s-CL" sz="1800" b="1" strike="noStrike" spc="-1">
                <a:solidFill>
                  <a:srgbClr val="000000"/>
                </a:solidFill>
                <a:latin typeface="Calibri"/>
              </a:rPr>
              <a:t>Calidad de datos BD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'📈 Gráficos'!$K$3</c:f>
              <c:strCache>
                <c:ptCount val="1"/>
                <c:pt idx="0">
                  <c:v>Cantidad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dPt>
            <c:idx val="0"/>
            <c:bubble3D val="0"/>
            <c:spPr>
              <a:solidFill>
                <a:srgbClr val="4F81BD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1-90E9-4164-ADFE-FB361F3AC3E7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3-90E9-4164-ADFE-FB361F3AC3E7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5-90E9-4164-ADFE-FB361F3AC3E7}"/>
              </c:ext>
            </c:extLst>
          </c:dPt>
          <c:dPt>
            <c:idx val="3"/>
            <c:bubble3D val="0"/>
            <c:spPr>
              <a:solidFill>
                <a:srgbClr val="8064A2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7-90E9-4164-ADFE-FB361F3AC3E7}"/>
              </c:ext>
            </c:extLst>
          </c:dPt>
          <c:dLbls>
            <c:dLbl>
              <c:idx val="0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s-CL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1-90E9-4164-ADFE-FB361F3AC3E7}"/>
                </c:ext>
              </c:extLst>
            </c:dLbl>
            <c:dLbl>
              <c:idx val="1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s-CL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3-90E9-4164-ADFE-FB361F3AC3E7}"/>
                </c:ext>
              </c:extLst>
            </c:dLbl>
            <c:dLbl>
              <c:idx val="2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s-CL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5-90E9-4164-ADFE-FB361F3AC3E7}"/>
                </c:ext>
              </c:extLst>
            </c:dLbl>
            <c:dLbl>
              <c:idx val="3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s-CL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7-90E9-4164-ADFE-FB361F3AC3E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CL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'📈 Gráficos'!$J$4:$J$7</c:f>
              <c:strCache>
                <c:ptCount val="4"/>
                <c:pt idx="0">
                  <c:v>Completos</c:v>
                </c:pt>
                <c:pt idx="1">
                  <c:v>M2=0</c:v>
                </c:pt>
                <c:pt idx="2">
                  <c:v>Sin total</c:v>
                </c:pt>
                <c:pt idx="3">
                  <c:v>Test/basura</c:v>
                </c:pt>
              </c:strCache>
            </c:strRef>
          </c:cat>
          <c:val>
            <c:numRef>
              <c:f>'📈 Gráficos'!$K$4:$K$7</c:f>
              <c:numCache>
                <c:formatCode>General</c:formatCode>
                <c:ptCount val="4"/>
                <c:pt idx="0">
                  <c:v>24</c:v>
                </c:pt>
                <c:pt idx="1">
                  <c:v>4</c:v>
                </c:pt>
                <c:pt idx="2">
                  <c:v>1</c:v>
                </c:pt>
                <c:pt idx="3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90E9-4164-ADFE-FB361F3AC3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s-CL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s-CL" sz="1800" b="1" strike="noStrike" spc="-1">
                <a:solidFill>
                  <a:srgbClr val="000000"/>
                </a:solidFill>
                <a:latin typeface="Calibri"/>
              </a:rPr>
              <a:t>Ingresos por Producto (CLP)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'📈 Gráficos'!$C$15</c:f>
              <c:strCache>
                <c:ptCount val="1"/>
                <c:pt idx="0">
                  <c:v>Ingresos</c:v>
                </c:pt>
              </c:strCache>
            </c:strRef>
          </c:tx>
          <c:spPr>
            <a:solidFill>
              <a:srgbClr val="1D9E75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CL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'📈 Gráficos'!$A$16:$A$22</c:f>
              <c:strCache>
                <c:ptCount val="7"/>
                <c:pt idx="0">
                  <c:v>Soft Touch 30mm</c:v>
                </c:pt>
                <c:pt idx="1">
                  <c:v>Pasto Deportivo Fútbol</c:v>
                </c:pt>
                <c:pt idx="2">
                  <c:v>Pasto Tenis &amp; Pádel</c:v>
                </c:pt>
                <c:pt idx="3">
                  <c:v>Luxury Emerald 40mm</c:v>
                </c:pt>
                <c:pt idx="4">
                  <c:v>Pasto Deportivo Fútbol</c:v>
                </c:pt>
                <c:pt idx="5">
                  <c:v>Fútbol 7</c:v>
                </c:pt>
                <c:pt idx="6">
                  <c:v>Pet-Friendly Turf 35mm</c:v>
                </c:pt>
              </c:strCache>
            </c:strRef>
          </c:cat>
          <c:val>
            <c:numRef>
              <c:f>'📈 Gráficos'!$C$16:$C$22</c:f>
              <c:numCache>
                <c:formatCode>General</c:formatCode>
                <c:ptCount val="7"/>
                <c:pt idx="0">
                  <c:v>104423700</c:v>
                </c:pt>
                <c:pt idx="1">
                  <c:v>57785000</c:v>
                </c:pt>
                <c:pt idx="2">
                  <c:v>39064000</c:v>
                </c:pt>
                <c:pt idx="3">
                  <c:v>18582000</c:v>
                </c:pt>
                <c:pt idx="4">
                  <c:v>16128000</c:v>
                </c:pt>
                <c:pt idx="5">
                  <c:v>15330000</c:v>
                </c:pt>
                <c:pt idx="6">
                  <c:v>5200000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1B-47BA-83B2-72EB77CBE0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6434618"/>
        <c:axId val="73331434"/>
      </c:barChart>
      <c:catAx>
        <c:axId val="3643461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CL"/>
          </a:p>
        </c:txPr>
        <c:crossAx val="73331434"/>
        <c:crosses val="autoZero"/>
        <c:auto val="1"/>
        <c:lblAlgn val="ctr"/>
        <c:lblOffset val="100"/>
        <c:noMultiLvlLbl val="0"/>
      </c:catAx>
      <c:valAx>
        <c:axId val="73331434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CL"/>
          </a:p>
        </c:txPr>
        <c:crossAx val="3643461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s-CL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s-CL" sz="1800" b="1" strike="noStrike" spc="-1">
                <a:solidFill>
                  <a:srgbClr val="000000"/>
                </a:solidFill>
                <a:latin typeface="Calibri"/>
              </a:rPr>
              <a:t>Actividad Diaria — Cotizaciones reales Mayo 2026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'📈 Gráficos'!$B$26</c:f>
              <c:strCache>
                <c:ptCount val="1"/>
                <c:pt idx="0">
                  <c:v>Cotizaciones</c:v>
                </c:pt>
              </c:strCache>
            </c:strRef>
          </c:tx>
          <c:spPr>
            <a:ln w="47520">
              <a:solidFill>
                <a:srgbClr val="2E75B6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CL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'📈 Gráficos'!$A$27:$A$36</c:f>
              <c:strCache>
                <c:ptCount val="10"/>
                <c:pt idx="0">
                  <c:v>05-02</c:v>
                </c:pt>
                <c:pt idx="1">
                  <c:v>05-04</c:v>
                </c:pt>
                <c:pt idx="2">
                  <c:v>05-05</c:v>
                </c:pt>
                <c:pt idx="3">
                  <c:v>05-06</c:v>
                </c:pt>
                <c:pt idx="4">
                  <c:v>05-09</c:v>
                </c:pt>
                <c:pt idx="5">
                  <c:v>05-10</c:v>
                </c:pt>
                <c:pt idx="6">
                  <c:v>05-11</c:v>
                </c:pt>
                <c:pt idx="7">
                  <c:v>05-16</c:v>
                </c:pt>
                <c:pt idx="8">
                  <c:v>05-19</c:v>
                </c:pt>
                <c:pt idx="9">
                  <c:v>05-23</c:v>
                </c:pt>
              </c:strCache>
            </c:strRef>
          </c:cat>
          <c:val>
            <c:numRef>
              <c:f>'📈 Gráficos'!$B$27:$B$36</c:f>
              <c:numCache>
                <c:formatCode>General</c:formatCode>
                <c:ptCount val="10"/>
                <c:pt idx="0">
                  <c:v>4</c:v>
                </c:pt>
                <c:pt idx="1">
                  <c:v>2</c:v>
                </c:pt>
                <c:pt idx="2">
                  <c:v>9</c:v>
                </c:pt>
                <c:pt idx="3">
                  <c:v>1</c:v>
                </c:pt>
                <c:pt idx="4">
                  <c:v>3</c:v>
                </c:pt>
                <c:pt idx="5">
                  <c:v>1</c:v>
                </c:pt>
                <c:pt idx="6">
                  <c:v>4</c:v>
                </c:pt>
                <c:pt idx="7">
                  <c:v>1</c:v>
                </c:pt>
                <c:pt idx="8">
                  <c:v>1</c:v>
                </c:pt>
                <c:pt idx="9">
                  <c:v>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FB6C-451F-953B-CF7FF2C000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45491114"/>
        <c:axId val="53398281"/>
      </c:lineChart>
      <c:catAx>
        <c:axId val="4549111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CL"/>
          </a:p>
        </c:txPr>
        <c:crossAx val="53398281"/>
        <c:crosses val="autoZero"/>
        <c:auto val="1"/>
        <c:lblAlgn val="ctr"/>
        <c:lblOffset val="100"/>
        <c:noMultiLvlLbl val="0"/>
      </c:catAx>
      <c:valAx>
        <c:axId val="5339828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CL"/>
          </a:p>
        </c:txPr>
        <c:crossAx val="4549111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s-CL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2</xdr:row>
      <xdr:rowOff>0</xdr:rowOff>
    </xdr:from>
    <xdr:to>
      <xdr:col>11</xdr:col>
      <xdr:colOff>39240</xdr:colOff>
      <xdr:row>19</xdr:row>
      <xdr:rowOff>1080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12</xdr:col>
      <xdr:colOff>327660</xdr:colOff>
      <xdr:row>1</xdr:row>
      <xdr:rowOff>175260</xdr:rowOff>
    </xdr:from>
    <xdr:to>
      <xdr:col>18</xdr:col>
      <xdr:colOff>275460</xdr:colOff>
      <xdr:row>18</xdr:row>
      <xdr:rowOff>176340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14</xdr:col>
      <xdr:colOff>472440</xdr:colOff>
      <xdr:row>19</xdr:row>
      <xdr:rowOff>137160</xdr:rowOff>
    </xdr:from>
    <xdr:to>
      <xdr:col>23</xdr:col>
      <xdr:colOff>25680</xdr:colOff>
      <xdr:row>36</xdr:row>
      <xdr:rowOff>138240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4</xdr:col>
      <xdr:colOff>0</xdr:colOff>
      <xdr:row>19</xdr:row>
      <xdr:rowOff>121920</xdr:rowOff>
    </xdr:from>
    <xdr:to>
      <xdr:col>14</xdr:col>
      <xdr:colOff>364680</xdr:colOff>
      <xdr:row>36</xdr:row>
      <xdr:rowOff>123000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497D"/>
  </sheetPr>
  <dimension ref="A1:I56"/>
  <sheetViews>
    <sheetView showGridLines="0" zoomScaleNormal="100" workbookViewId="0">
      <selection activeCell="H62" sqref="H62"/>
    </sheetView>
  </sheetViews>
  <sheetFormatPr baseColWidth="10" defaultColWidth="8.6640625" defaultRowHeight="14.4" x14ac:dyDescent="0.3"/>
  <cols>
    <col min="1" max="1" width="1.5546875" customWidth="1"/>
    <col min="2" max="2" width="22.88671875" bestFit="1" customWidth="1"/>
    <col min="3" max="3" width="11.109375" bestFit="1" customWidth="1"/>
    <col min="4" max="4" width="16.6640625" bestFit="1" customWidth="1"/>
    <col min="5" max="5" width="18.88671875" bestFit="1" customWidth="1"/>
    <col min="6" max="6" width="23" bestFit="1" customWidth="1"/>
    <col min="7" max="7" width="19.109375" bestFit="1" customWidth="1"/>
    <col min="8" max="8" width="25.109375" bestFit="1" customWidth="1"/>
    <col min="9" max="9" width="8.109375" bestFit="1" customWidth="1"/>
  </cols>
  <sheetData>
    <row r="1" spans="1:9" ht="6" customHeight="1" x14ac:dyDescent="0.3">
      <c r="A1" s="14"/>
      <c r="B1" s="14"/>
      <c r="C1" s="14"/>
      <c r="D1" s="14"/>
      <c r="E1" s="14"/>
      <c r="F1" s="14"/>
      <c r="G1" s="14"/>
      <c r="H1" s="14"/>
      <c r="I1" s="14"/>
    </row>
    <row r="2" spans="1:9" ht="36" customHeight="1" x14ac:dyDescent="0.3">
      <c r="A2" s="13" t="s">
        <v>0</v>
      </c>
      <c r="B2" s="13"/>
      <c r="C2" s="13"/>
      <c r="D2" s="13"/>
      <c r="E2" s="13"/>
      <c r="F2" s="13"/>
      <c r="G2" s="13"/>
      <c r="H2" s="13"/>
      <c r="I2" s="13"/>
    </row>
    <row r="3" spans="1:9" ht="18" customHeight="1" x14ac:dyDescent="0.3">
      <c r="A3" s="12" t="s">
        <v>368</v>
      </c>
      <c r="B3" s="12"/>
      <c r="C3" s="12"/>
      <c r="D3" s="12"/>
      <c r="E3" s="12"/>
      <c r="F3" s="12"/>
      <c r="G3" s="12"/>
      <c r="H3" s="12"/>
      <c r="I3" s="12"/>
    </row>
    <row r="4" spans="1:9" ht="7.5" customHeight="1" x14ac:dyDescent="0.3">
      <c r="A4" s="14"/>
      <c r="B4" s="14"/>
      <c r="C4" s="14"/>
      <c r="D4" s="14"/>
      <c r="E4" s="14"/>
      <c r="F4" s="14"/>
      <c r="G4" s="14"/>
      <c r="H4" s="14"/>
      <c r="I4" s="14"/>
    </row>
    <row r="5" spans="1:9" ht="19.5" customHeight="1" x14ac:dyDescent="0.3">
      <c r="A5" s="11" t="s">
        <v>1</v>
      </c>
      <c r="B5" s="11"/>
      <c r="C5" s="11"/>
      <c r="D5" s="11"/>
      <c r="E5" s="11"/>
      <c r="F5" s="11"/>
      <c r="G5" s="11"/>
      <c r="H5" s="11"/>
      <c r="I5" s="11"/>
    </row>
    <row r="6" spans="1:9" ht="18" customHeight="1" x14ac:dyDescent="0.3">
      <c r="B6" s="15" t="s">
        <v>2</v>
      </c>
      <c r="C6" s="15" t="s">
        <v>3</v>
      </c>
      <c r="D6" s="10" t="s">
        <v>4</v>
      </c>
      <c r="E6" s="10"/>
      <c r="F6" s="10"/>
      <c r="G6" s="10"/>
      <c r="H6" s="10"/>
    </row>
    <row r="7" spans="1:9" ht="21.75" customHeight="1" x14ac:dyDescent="0.3">
      <c r="B7" s="16" t="s">
        <v>5</v>
      </c>
      <c r="C7" s="17" t="s">
        <v>6</v>
      </c>
      <c r="D7" s="9" t="s">
        <v>7</v>
      </c>
      <c r="E7" s="9"/>
      <c r="F7" s="9"/>
      <c r="G7" s="9"/>
      <c r="H7" s="9"/>
      <c r="I7" s="19" t="s">
        <v>8</v>
      </c>
    </row>
    <row r="8" spans="1:9" ht="21.75" customHeight="1" x14ac:dyDescent="0.3">
      <c r="B8" s="20" t="s">
        <v>9</v>
      </c>
      <c r="C8" s="21" t="s">
        <v>10</v>
      </c>
      <c r="D8" s="8" t="s">
        <v>11</v>
      </c>
      <c r="E8" s="8"/>
      <c r="F8" s="8"/>
      <c r="G8" s="8"/>
      <c r="H8" s="8"/>
      <c r="I8" s="23" t="s">
        <v>8</v>
      </c>
    </row>
    <row r="9" spans="1:9" ht="21.75" customHeight="1" x14ac:dyDescent="0.3">
      <c r="B9" s="24" t="s">
        <v>12</v>
      </c>
      <c r="C9" s="25" t="s">
        <v>13</v>
      </c>
      <c r="D9" s="7" t="s">
        <v>14</v>
      </c>
      <c r="E9" s="7"/>
      <c r="F9" s="7"/>
      <c r="G9" s="7"/>
      <c r="H9" s="7"/>
      <c r="I9" s="26" t="s">
        <v>8</v>
      </c>
    </row>
    <row r="10" spans="1:9" ht="9.75" customHeight="1" x14ac:dyDescent="0.3"/>
    <row r="11" spans="1:9" ht="19.5" customHeight="1" x14ac:dyDescent="0.3">
      <c r="A11" s="6" t="s">
        <v>15</v>
      </c>
      <c r="B11" s="6"/>
      <c r="C11" s="6"/>
      <c r="D11" s="6"/>
      <c r="E11" s="6"/>
      <c r="F11" s="6"/>
      <c r="G11" s="6"/>
      <c r="H11" s="6"/>
      <c r="I11" s="6"/>
    </row>
    <row r="12" spans="1:9" ht="19.5" customHeight="1" x14ac:dyDescent="0.3">
      <c r="A12" s="27"/>
      <c r="B12" s="5" t="s">
        <v>16</v>
      </c>
      <c r="C12" s="5"/>
      <c r="D12" s="28" t="s">
        <v>17</v>
      </c>
      <c r="E12" s="29" t="s">
        <v>18</v>
      </c>
      <c r="F12" s="30" t="s">
        <v>19</v>
      </c>
      <c r="G12" s="31" t="s">
        <v>20</v>
      </c>
      <c r="H12" s="32" t="s">
        <v>21</v>
      </c>
      <c r="I12" s="27"/>
    </row>
    <row r="13" spans="1:9" ht="27.75" customHeight="1" x14ac:dyDescent="0.3">
      <c r="A13" s="27"/>
      <c r="B13" s="4">
        <v>51</v>
      </c>
      <c r="C13" s="4"/>
      <c r="D13" s="33">
        <v>28</v>
      </c>
      <c r="E13" s="34">
        <v>4</v>
      </c>
      <c r="F13" s="35">
        <v>4</v>
      </c>
      <c r="G13" s="36">
        <v>20</v>
      </c>
      <c r="H13" s="37">
        <v>27012400</v>
      </c>
      <c r="I13" s="27"/>
    </row>
    <row r="14" spans="1:9" ht="19.5" customHeight="1" x14ac:dyDescent="0.3">
      <c r="A14" s="27"/>
      <c r="B14" s="3" t="s">
        <v>22</v>
      </c>
      <c r="C14" s="3"/>
      <c r="D14" s="38" t="s">
        <v>23</v>
      </c>
      <c r="E14" s="39" t="s">
        <v>24</v>
      </c>
      <c r="F14" s="40" t="s">
        <v>25</v>
      </c>
      <c r="G14" s="41" t="s">
        <v>26</v>
      </c>
      <c r="H14" s="42" t="s">
        <v>27</v>
      </c>
      <c r="I14" s="27"/>
    </row>
    <row r="15" spans="1:9" ht="9.75" customHeight="1" x14ac:dyDescent="0.3">
      <c r="A15" s="27"/>
      <c r="B15" s="14"/>
      <c r="C15" s="14"/>
      <c r="D15" s="43"/>
      <c r="E15" s="44"/>
      <c r="F15" s="45"/>
      <c r="G15" s="46"/>
      <c r="H15" s="47"/>
      <c r="I15" s="27"/>
    </row>
    <row r="16" spans="1:9" ht="19.5" customHeight="1" x14ac:dyDescent="0.3">
      <c r="A16" s="2" t="s">
        <v>28</v>
      </c>
      <c r="B16" s="2"/>
      <c r="C16" s="2"/>
      <c r="D16" s="2"/>
      <c r="E16" s="2"/>
      <c r="F16" s="2"/>
      <c r="G16" s="2"/>
      <c r="H16" s="2"/>
      <c r="I16" s="2"/>
    </row>
    <row r="17" spans="1:9" ht="18" customHeight="1" x14ac:dyDescent="0.3">
      <c r="B17" s="15" t="s">
        <v>29</v>
      </c>
      <c r="C17" s="15" t="s">
        <v>30</v>
      </c>
      <c r="D17" s="15" t="s">
        <v>31</v>
      </c>
      <c r="E17" s="10" t="s">
        <v>32</v>
      </c>
      <c r="F17" s="10"/>
      <c r="G17" s="10"/>
      <c r="H17" s="10"/>
      <c r="I17" s="10"/>
    </row>
    <row r="18" spans="1:9" ht="18" customHeight="1" x14ac:dyDescent="0.3">
      <c r="B18" s="48" t="s">
        <v>33</v>
      </c>
      <c r="C18" s="49">
        <v>24</v>
      </c>
      <c r="D18" s="50">
        <v>0.47058823529411797</v>
      </c>
      <c r="E18" s="9" t="s">
        <v>34</v>
      </c>
      <c r="F18" s="9"/>
      <c r="G18" s="9"/>
      <c r="H18" s="9"/>
      <c r="I18" s="9"/>
    </row>
    <row r="19" spans="1:9" ht="18" customHeight="1" x14ac:dyDescent="0.3">
      <c r="B19" s="51" t="s">
        <v>35</v>
      </c>
      <c r="C19" s="52">
        <v>4</v>
      </c>
      <c r="D19" s="53">
        <v>7.8431372549019607E-2</v>
      </c>
      <c r="E19" s="8" t="s">
        <v>36</v>
      </c>
      <c r="F19" s="8"/>
      <c r="G19" s="8"/>
      <c r="H19" s="8"/>
      <c r="I19" s="8"/>
    </row>
    <row r="20" spans="1:9" ht="18" customHeight="1" x14ac:dyDescent="0.3">
      <c r="B20" s="54" t="s">
        <v>37</v>
      </c>
      <c r="C20" s="55">
        <v>1</v>
      </c>
      <c r="D20" s="56">
        <v>1.9607843137254902E-2</v>
      </c>
      <c r="E20" s="1" t="s">
        <v>38</v>
      </c>
      <c r="F20" s="1"/>
      <c r="G20" s="1"/>
      <c r="H20" s="1"/>
      <c r="I20" s="1"/>
    </row>
    <row r="21" spans="1:9" ht="18" customHeight="1" x14ac:dyDescent="0.3">
      <c r="B21" s="58" t="s">
        <v>39</v>
      </c>
      <c r="C21" s="59">
        <v>22</v>
      </c>
      <c r="D21" s="60">
        <v>0.43137254901960798</v>
      </c>
      <c r="E21" s="7" t="s">
        <v>40</v>
      </c>
      <c r="F21" s="7"/>
      <c r="G21" s="7"/>
      <c r="H21" s="7"/>
      <c r="I21" s="7"/>
    </row>
    <row r="22" spans="1:9" ht="18" customHeight="1" x14ac:dyDescent="0.3">
      <c r="B22" s="61" t="s">
        <v>41</v>
      </c>
      <c r="C22" s="62">
        <v>51</v>
      </c>
      <c r="D22" s="63">
        <v>1</v>
      </c>
      <c r="E22" s="133"/>
      <c r="F22" s="133"/>
      <c r="G22" s="133"/>
      <c r="H22" s="133"/>
      <c r="I22" s="133"/>
    </row>
    <row r="23" spans="1:9" ht="9.75" customHeight="1" x14ac:dyDescent="0.3"/>
    <row r="24" spans="1:9" ht="19.5" customHeight="1" x14ac:dyDescent="0.3">
      <c r="A24" s="6" t="s">
        <v>42</v>
      </c>
      <c r="B24" s="6"/>
      <c r="C24" s="6"/>
      <c r="D24" s="6"/>
      <c r="E24" s="6"/>
      <c r="F24" s="6"/>
      <c r="G24" s="6"/>
      <c r="H24" s="6"/>
      <c r="I24" s="6"/>
    </row>
    <row r="25" spans="1:9" ht="18" customHeight="1" x14ac:dyDescent="0.3">
      <c r="B25" s="64" t="s">
        <v>3</v>
      </c>
      <c r="C25" s="64" t="s">
        <v>43</v>
      </c>
      <c r="D25" s="64" t="s">
        <v>44</v>
      </c>
      <c r="E25" s="64" t="s">
        <v>45</v>
      </c>
      <c r="F25" s="64" t="s">
        <v>46</v>
      </c>
      <c r="G25" s="134" t="s">
        <v>32</v>
      </c>
      <c r="H25" s="134"/>
      <c r="I25" s="134"/>
    </row>
    <row r="26" spans="1:9" ht="19.5" customHeight="1" x14ac:dyDescent="0.3">
      <c r="B26" s="17" t="s">
        <v>6</v>
      </c>
      <c r="C26" s="17" t="s">
        <v>5</v>
      </c>
      <c r="D26" s="49">
        <v>4</v>
      </c>
      <c r="E26" s="50">
        <v>0.14285714285714299</v>
      </c>
      <c r="F26" s="65">
        <v>25514400</v>
      </c>
      <c r="G26" s="9" t="s">
        <v>47</v>
      </c>
      <c r="H26" s="9"/>
      <c r="I26" s="9"/>
    </row>
    <row r="27" spans="1:9" ht="19.5" customHeight="1" x14ac:dyDescent="0.3">
      <c r="B27" s="21" t="s">
        <v>10</v>
      </c>
      <c r="C27" s="21" t="s">
        <v>9</v>
      </c>
      <c r="D27" s="52">
        <v>4</v>
      </c>
      <c r="E27" s="53">
        <v>0.14285714285714299</v>
      </c>
      <c r="F27" s="66">
        <v>72910400</v>
      </c>
      <c r="G27" s="8" t="s">
        <v>48</v>
      </c>
      <c r="H27" s="8"/>
      <c r="I27" s="8"/>
    </row>
    <row r="28" spans="1:9" ht="19.5" customHeight="1" x14ac:dyDescent="0.3">
      <c r="B28" s="25" t="s">
        <v>13</v>
      </c>
      <c r="C28" s="25" t="s">
        <v>12</v>
      </c>
      <c r="D28" s="59">
        <v>20</v>
      </c>
      <c r="E28" s="60">
        <v>0.71428571428571397</v>
      </c>
      <c r="F28" s="67">
        <v>158087900</v>
      </c>
      <c r="G28" s="7" t="s">
        <v>49</v>
      </c>
      <c r="H28" s="7"/>
      <c r="I28" s="7"/>
    </row>
    <row r="29" spans="1:9" ht="19.5" customHeight="1" x14ac:dyDescent="0.3">
      <c r="B29" s="62" t="s">
        <v>50</v>
      </c>
      <c r="C29" s="62"/>
      <c r="D29" s="62">
        <v>28</v>
      </c>
      <c r="E29" s="63">
        <v>1</v>
      </c>
      <c r="F29" s="68">
        <v>256512700</v>
      </c>
      <c r="G29" s="135"/>
      <c r="H29" s="135"/>
      <c r="I29" s="135"/>
    </row>
    <row r="31" spans="1:9" ht="19.5" customHeight="1" x14ac:dyDescent="0.3">
      <c r="A31" s="136" t="s">
        <v>51</v>
      </c>
      <c r="B31" s="136"/>
      <c r="C31" s="136"/>
      <c r="D31" s="136"/>
      <c r="E31" s="136"/>
      <c r="F31" s="136"/>
      <c r="G31" s="136"/>
      <c r="H31" s="136"/>
      <c r="I31" s="136"/>
    </row>
    <row r="32" spans="1:9" ht="18" customHeight="1" x14ac:dyDescent="0.3">
      <c r="B32" s="69" t="s">
        <v>52</v>
      </c>
      <c r="C32" s="69" t="s">
        <v>53</v>
      </c>
      <c r="D32" s="69" t="s">
        <v>54</v>
      </c>
      <c r="E32" s="69" t="s">
        <v>55</v>
      </c>
      <c r="F32" s="69" t="s">
        <v>56</v>
      </c>
      <c r="G32" s="69" t="s">
        <v>57</v>
      </c>
      <c r="H32" s="69" t="s">
        <v>58</v>
      </c>
    </row>
    <row r="33" spans="1:9" ht="18" customHeight="1" x14ac:dyDescent="0.3">
      <c r="B33" s="70" t="s">
        <v>59</v>
      </c>
      <c r="C33" s="71">
        <v>14</v>
      </c>
      <c r="D33" s="72">
        <v>4242</v>
      </c>
      <c r="E33" s="73">
        <v>104423700</v>
      </c>
      <c r="F33" s="71">
        <v>5</v>
      </c>
      <c r="G33" s="72">
        <v>286</v>
      </c>
      <c r="H33" s="73">
        <v>10884400</v>
      </c>
    </row>
    <row r="34" spans="1:9" ht="18" customHeight="1" x14ac:dyDescent="0.3">
      <c r="B34" s="18" t="s">
        <v>60</v>
      </c>
      <c r="C34" s="49">
        <v>2</v>
      </c>
      <c r="D34" s="74">
        <v>1651</v>
      </c>
      <c r="E34" s="65">
        <v>57785000</v>
      </c>
      <c r="F34" s="49">
        <v>0</v>
      </c>
      <c r="G34" s="74">
        <v>0</v>
      </c>
      <c r="H34" s="65">
        <v>0</v>
      </c>
    </row>
    <row r="35" spans="1:9" ht="18" customHeight="1" x14ac:dyDescent="0.3">
      <c r="B35" s="22" t="s">
        <v>61</v>
      </c>
      <c r="C35" s="52">
        <v>3</v>
      </c>
      <c r="D35" s="75">
        <v>128</v>
      </c>
      <c r="E35" s="66">
        <v>39064000</v>
      </c>
      <c r="F35" s="52">
        <v>0</v>
      </c>
      <c r="G35" s="75">
        <v>0</v>
      </c>
      <c r="H35" s="66">
        <v>0</v>
      </c>
    </row>
    <row r="36" spans="1:9" ht="18" customHeight="1" x14ac:dyDescent="0.3">
      <c r="B36" s="57" t="s">
        <v>62</v>
      </c>
      <c r="C36" s="55">
        <v>4</v>
      </c>
      <c r="D36" s="76">
        <v>541</v>
      </c>
      <c r="E36" s="77">
        <v>18582000</v>
      </c>
      <c r="F36" s="55">
        <v>0</v>
      </c>
      <c r="G36" s="76">
        <v>0</v>
      </c>
      <c r="H36" s="77">
        <v>0</v>
      </c>
    </row>
    <row r="37" spans="1:9" ht="18" customHeight="1" x14ac:dyDescent="0.3">
      <c r="B37" s="78" t="s">
        <v>63</v>
      </c>
      <c r="C37" s="79">
        <v>2</v>
      </c>
      <c r="D37" s="80">
        <v>504</v>
      </c>
      <c r="E37" s="81">
        <v>16128000</v>
      </c>
      <c r="F37" s="79">
        <v>2</v>
      </c>
      <c r="G37" s="80">
        <v>504</v>
      </c>
      <c r="H37" s="81">
        <v>16128000</v>
      </c>
    </row>
    <row r="38" spans="1:9" ht="18" customHeight="1" x14ac:dyDescent="0.3">
      <c r="B38" s="82" t="s">
        <v>64</v>
      </c>
      <c r="C38" s="83">
        <v>1</v>
      </c>
      <c r="D38" s="84">
        <v>438</v>
      </c>
      <c r="E38" s="85">
        <v>15330000</v>
      </c>
      <c r="F38" s="83">
        <v>0</v>
      </c>
      <c r="G38" s="84">
        <v>0</v>
      </c>
      <c r="H38" s="85">
        <v>0</v>
      </c>
    </row>
    <row r="39" spans="1:9" ht="18" customHeight="1" x14ac:dyDescent="0.3">
      <c r="B39" s="86" t="s">
        <v>65</v>
      </c>
      <c r="C39" s="87">
        <v>2</v>
      </c>
      <c r="D39" s="88">
        <v>200</v>
      </c>
      <c r="E39" s="89">
        <v>5200000</v>
      </c>
      <c r="F39" s="87">
        <v>0</v>
      </c>
      <c r="G39" s="88">
        <v>0</v>
      </c>
      <c r="H39" s="89">
        <v>0</v>
      </c>
    </row>
    <row r="40" spans="1:9" ht="18" customHeight="1" x14ac:dyDescent="0.3">
      <c r="B40" s="90" t="s">
        <v>50</v>
      </c>
      <c r="C40" s="90">
        <v>28</v>
      </c>
      <c r="D40" s="91">
        <v>7704</v>
      </c>
      <c r="E40" s="92">
        <v>256512700</v>
      </c>
      <c r="F40" s="90">
        <v>7</v>
      </c>
      <c r="G40" s="91">
        <v>790</v>
      </c>
      <c r="H40" s="92">
        <v>27012400</v>
      </c>
    </row>
    <row r="42" spans="1:9" ht="19.5" customHeight="1" x14ac:dyDescent="0.3">
      <c r="A42" s="137" t="s">
        <v>66</v>
      </c>
      <c r="B42" s="137"/>
      <c r="C42" s="137"/>
      <c r="D42" s="137"/>
      <c r="E42" s="137"/>
      <c r="F42" s="137"/>
      <c r="G42" s="137"/>
      <c r="H42" s="137"/>
      <c r="I42" s="137"/>
    </row>
    <row r="43" spans="1:9" ht="18" customHeight="1" x14ac:dyDescent="0.3">
      <c r="B43" s="93" t="s">
        <v>67</v>
      </c>
      <c r="C43" s="93" t="s">
        <v>68</v>
      </c>
      <c r="D43" s="93" t="s">
        <v>69</v>
      </c>
      <c r="E43" s="93" t="s">
        <v>31</v>
      </c>
      <c r="F43" s="93" t="s">
        <v>70</v>
      </c>
    </row>
    <row r="44" spans="1:9" ht="18" customHeight="1" x14ac:dyDescent="0.3">
      <c r="B44" s="94" t="s">
        <v>71</v>
      </c>
      <c r="C44" s="94">
        <v>4</v>
      </c>
      <c r="D44" s="95">
        <v>6406000</v>
      </c>
      <c r="E44" s="96">
        <v>2.49734223685611E-2</v>
      </c>
      <c r="F44" s="97" t="s">
        <v>72</v>
      </c>
    </row>
    <row r="45" spans="1:9" ht="18" customHeight="1" x14ac:dyDescent="0.3">
      <c r="B45" s="87" t="s">
        <v>73</v>
      </c>
      <c r="C45" s="87">
        <v>2</v>
      </c>
      <c r="D45" s="89">
        <v>43845000</v>
      </c>
      <c r="E45" s="98">
        <v>0.17092720945200801</v>
      </c>
      <c r="F45" s="99" t="s">
        <v>74</v>
      </c>
    </row>
    <row r="46" spans="1:9" ht="18" customHeight="1" x14ac:dyDescent="0.3">
      <c r="B46" s="94" t="s">
        <v>75</v>
      </c>
      <c r="C46" s="94">
        <v>9</v>
      </c>
      <c r="D46" s="95">
        <v>53347000</v>
      </c>
      <c r="E46" s="96">
        <v>0.207970209662134</v>
      </c>
      <c r="F46" s="100" t="s">
        <v>76</v>
      </c>
    </row>
    <row r="47" spans="1:9" ht="18" customHeight="1" x14ac:dyDescent="0.3">
      <c r="B47" s="87" t="s">
        <v>77</v>
      </c>
      <c r="C47" s="87">
        <v>1</v>
      </c>
      <c r="D47" s="89">
        <v>2541900</v>
      </c>
      <c r="E47" s="98">
        <v>9.9094508770910805E-3</v>
      </c>
      <c r="F47" s="101" t="s">
        <v>72</v>
      </c>
    </row>
    <row r="48" spans="1:9" ht="18" customHeight="1" x14ac:dyDescent="0.3">
      <c r="B48" s="94" t="s">
        <v>78</v>
      </c>
      <c r="C48" s="94">
        <v>3</v>
      </c>
      <c r="D48" s="95">
        <v>51820000</v>
      </c>
      <c r="E48" s="96">
        <v>0.202017288032912</v>
      </c>
      <c r="F48" s="100" t="s">
        <v>76</v>
      </c>
    </row>
    <row r="49" spans="1:9" ht="18" customHeight="1" x14ac:dyDescent="0.3">
      <c r="B49" s="87" t="s">
        <v>79</v>
      </c>
      <c r="C49" s="87">
        <v>1</v>
      </c>
      <c r="D49" s="89">
        <v>61830000</v>
      </c>
      <c r="E49" s="98">
        <v>0.24104069701032399</v>
      </c>
      <c r="F49" s="99" t="s">
        <v>80</v>
      </c>
    </row>
    <row r="50" spans="1:9" ht="18" customHeight="1" x14ac:dyDescent="0.3">
      <c r="B50" s="94" t="s">
        <v>81</v>
      </c>
      <c r="C50" s="94">
        <v>4</v>
      </c>
      <c r="D50" s="95">
        <v>30348900</v>
      </c>
      <c r="E50" s="96">
        <v>0.118313440231224</v>
      </c>
      <c r="F50" s="102" t="s">
        <v>82</v>
      </c>
    </row>
    <row r="51" spans="1:9" ht="18" customHeight="1" x14ac:dyDescent="0.3">
      <c r="B51" s="87" t="s">
        <v>83</v>
      </c>
      <c r="C51" s="87">
        <v>1</v>
      </c>
      <c r="D51" s="89">
        <v>343500</v>
      </c>
      <c r="E51" s="98">
        <v>1.33911498339069E-3</v>
      </c>
      <c r="F51" s="101" t="s">
        <v>72</v>
      </c>
    </row>
    <row r="52" spans="1:9" ht="18" customHeight="1" x14ac:dyDescent="0.3">
      <c r="B52" s="94" t="s">
        <v>84</v>
      </c>
      <c r="C52" s="94">
        <v>1</v>
      </c>
      <c r="D52" s="95">
        <v>4110000</v>
      </c>
      <c r="E52" s="96">
        <v>1.6022598491224799E-2</v>
      </c>
      <c r="F52" s="97" t="s">
        <v>72</v>
      </c>
    </row>
    <row r="53" spans="1:9" ht="18" customHeight="1" x14ac:dyDescent="0.3">
      <c r="B53" s="87" t="s">
        <v>85</v>
      </c>
      <c r="C53" s="87">
        <v>2</v>
      </c>
      <c r="D53" s="89">
        <v>1920400</v>
      </c>
      <c r="E53" s="98">
        <v>7.4865688911309302E-3</v>
      </c>
      <c r="F53" s="101" t="s">
        <v>72</v>
      </c>
    </row>
    <row r="54" spans="1:9" ht="18" customHeight="1" x14ac:dyDescent="0.3">
      <c r="B54" s="103" t="s">
        <v>50</v>
      </c>
      <c r="C54" s="103">
        <v>28</v>
      </c>
      <c r="D54" s="104">
        <v>256512700</v>
      </c>
      <c r="E54" s="105">
        <v>1</v>
      </c>
    </row>
    <row r="56" spans="1:9" ht="15.75" customHeight="1" x14ac:dyDescent="0.3">
      <c r="A56" s="138" t="s">
        <v>369</v>
      </c>
      <c r="B56" s="138"/>
      <c r="C56" s="138"/>
      <c r="D56" s="138"/>
      <c r="E56" s="138"/>
      <c r="F56" s="138"/>
      <c r="G56" s="138"/>
      <c r="H56" s="138"/>
      <c r="I56" s="138"/>
    </row>
  </sheetData>
  <mergeCells count="30">
    <mergeCell ref="G28:I28"/>
    <mergeCell ref="G29:I29"/>
    <mergeCell ref="A31:I31"/>
    <mergeCell ref="A42:I42"/>
    <mergeCell ref="A56:I56"/>
    <mergeCell ref="E22:I22"/>
    <mergeCell ref="A24:I24"/>
    <mergeCell ref="G25:I25"/>
    <mergeCell ref="G26:I26"/>
    <mergeCell ref="G27:I27"/>
    <mergeCell ref="E17:I17"/>
    <mergeCell ref="E18:I18"/>
    <mergeCell ref="E19:I19"/>
    <mergeCell ref="E20:I20"/>
    <mergeCell ref="E21:I21"/>
    <mergeCell ref="B12:C12"/>
    <mergeCell ref="B13:C13"/>
    <mergeCell ref="B14:C14"/>
    <mergeCell ref="B15:C15"/>
    <mergeCell ref="A16:I16"/>
    <mergeCell ref="D6:H6"/>
    <mergeCell ref="D7:H7"/>
    <mergeCell ref="D8:H8"/>
    <mergeCell ref="D9:H9"/>
    <mergeCell ref="A11:I11"/>
    <mergeCell ref="A1:I1"/>
    <mergeCell ref="A2:I2"/>
    <mergeCell ref="A3:I3"/>
    <mergeCell ref="A4:I4"/>
    <mergeCell ref="A5:I5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E75B6"/>
  </sheetPr>
  <dimension ref="A1:O53"/>
  <sheetViews>
    <sheetView zoomScaleNormal="100" workbookViewId="0"/>
  </sheetViews>
  <sheetFormatPr baseColWidth="10" defaultColWidth="8.6640625" defaultRowHeight="14.4" x14ac:dyDescent="0.3"/>
  <cols>
    <col min="1" max="1" width="5" customWidth="1"/>
    <col min="2" max="2" width="20" customWidth="1"/>
    <col min="3" max="3" width="22" customWidth="1"/>
    <col min="4" max="4" width="20" customWidth="1"/>
    <col min="5" max="5" width="16" customWidth="1"/>
    <col min="6" max="6" width="26" customWidth="1"/>
    <col min="7" max="7" width="24" customWidth="1"/>
    <col min="8" max="8" width="7" customWidth="1"/>
    <col min="9" max="9" width="11" customWidth="1"/>
    <col min="10" max="10" width="13" customWidth="1"/>
    <col min="11" max="11" width="9" customWidth="1"/>
    <col min="12" max="13" width="14" customWidth="1"/>
    <col min="14" max="14" width="20" customWidth="1"/>
    <col min="15" max="15" width="26" customWidth="1"/>
  </cols>
  <sheetData>
    <row r="1" spans="1:15" ht="25.5" customHeight="1" x14ac:dyDescent="0.3">
      <c r="A1" s="106" t="s">
        <v>86</v>
      </c>
    </row>
    <row r="2" spans="1:15" ht="18" customHeight="1" x14ac:dyDescent="0.3">
      <c r="A2" s="64" t="s">
        <v>87</v>
      </c>
      <c r="B2" s="64" t="s">
        <v>88</v>
      </c>
      <c r="C2" s="64" t="s">
        <v>89</v>
      </c>
      <c r="D2" s="64" t="s">
        <v>90</v>
      </c>
      <c r="E2" s="64" t="s">
        <v>91</v>
      </c>
      <c r="F2" s="64" t="s">
        <v>92</v>
      </c>
      <c r="G2" s="64" t="s">
        <v>93</v>
      </c>
      <c r="H2" s="64" t="s">
        <v>94</v>
      </c>
      <c r="I2" s="64" t="s">
        <v>95</v>
      </c>
      <c r="J2" s="64" t="s">
        <v>96</v>
      </c>
      <c r="K2" s="64" t="s">
        <v>97</v>
      </c>
      <c r="L2" s="64" t="s">
        <v>98</v>
      </c>
      <c r="M2" s="64" t="s">
        <v>99</v>
      </c>
      <c r="N2" s="64" t="s">
        <v>100</v>
      </c>
      <c r="O2" s="64" t="s">
        <v>101</v>
      </c>
    </row>
    <row r="3" spans="1:15" ht="15" customHeight="1" x14ac:dyDescent="0.3">
      <c r="A3" s="107">
        <v>90</v>
      </c>
      <c r="B3" s="108" t="s">
        <v>102</v>
      </c>
      <c r="C3" s="108" t="s">
        <v>103</v>
      </c>
      <c r="D3" s="108" t="s">
        <v>104</v>
      </c>
      <c r="E3" s="108" t="s">
        <v>105</v>
      </c>
      <c r="F3" s="108" t="s">
        <v>106</v>
      </c>
      <c r="G3" s="108" t="s">
        <v>59</v>
      </c>
      <c r="H3" s="107">
        <v>36</v>
      </c>
      <c r="I3" s="107" t="s">
        <v>107</v>
      </c>
      <c r="J3" s="109">
        <v>824400</v>
      </c>
      <c r="K3" s="110" t="s">
        <v>9</v>
      </c>
      <c r="L3" s="110" t="s">
        <v>10</v>
      </c>
      <c r="M3" s="111" t="s">
        <v>108</v>
      </c>
      <c r="N3" s="107" t="s">
        <v>109</v>
      </c>
      <c r="O3" s="108" t="s">
        <v>110</v>
      </c>
    </row>
    <row r="4" spans="1:15" ht="15" customHeight="1" x14ac:dyDescent="0.3">
      <c r="A4" s="112">
        <v>89</v>
      </c>
      <c r="B4" s="113" t="s">
        <v>111</v>
      </c>
      <c r="C4" s="113" t="s">
        <v>103</v>
      </c>
      <c r="D4" s="113" t="s">
        <v>104</v>
      </c>
      <c r="E4" s="113" t="s">
        <v>105</v>
      </c>
      <c r="F4" s="113" t="s">
        <v>106</v>
      </c>
      <c r="G4" s="113" t="s">
        <v>59</v>
      </c>
      <c r="H4" s="112">
        <v>40</v>
      </c>
      <c r="I4" s="112" t="s">
        <v>107</v>
      </c>
      <c r="J4" s="114">
        <v>1096000</v>
      </c>
      <c r="K4" s="110" t="s">
        <v>9</v>
      </c>
      <c r="L4" s="110" t="s">
        <v>10</v>
      </c>
      <c r="M4" s="111" t="s">
        <v>108</v>
      </c>
      <c r="N4" s="112" t="s">
        <v>112</v>
      </c>
      <c r="O4" s="113" t="s">
        <v>110</v>
      </c>
    </row>
    <row r="5" spans="1:15" ht="15" customHeight="1" x14ac:dyDescent="0.3">
      <c r="A5" s="107">
        <v>87</v>
      </c>
      <c r="B5" s="108" t="s">
        <v>113</v>
      </c>
      <c r="C5" s="108" t="s">
        <v>114</v>
      </c>
      <c r="D5" s="108" t="s">
        <v>115</v>
      </c>
      <c r="E5" s="108" t="s">
        <v>116</v>
      </c>
      <c r="F5" s="108" t="s">
        <v>117</v>
      </c>
      <c r="G5" s="108" t="s">
        <v>59</v>
      </c>
      <c r="H5" s="107">
        <v>0</v>
      </c>
      <c r="I5" s="107" t="s">
        <v>107</v>
      </c>
      <c r="J5" s="109">
        <v>4110000</v>
      </c>
      <c r="K5" s="115" t="s">
        <v>5</v>
      </c>
      <c r="L5" s="115" t="s">
        <v>6</v>
      </c>
      <c r="M5" s="116" t="s">
        <v>118</v>
      </c>
      <c r="N5" s="107" t="s">
        <v>119</v>
      </c>
      <c r="O5" s="108" t="s">
        <v>120</v>
      </c>
    </row>
    <row r="6" spans="1:15" ht="15" customHeight="1" x14ac:dyDescent="0.3">
      <c r="A6" s="112">
        <v>86</v>
      </c>
      <c r="B6" s="113" t="s">
        <v>121</v>
      </c>
      <c r="C6" s="113" t="s">
        <v>122</v>
      </c>
      <c r="D6" s="113" t="s">
        <v>123</v>
      </c>
      <c r="E6" s="113" t="s">
        <v>124</v>
      </c>
      <c r="F6" s="113" t="s">
        <v>125</v>
      </c>
      <c r="G6" s="113" t="s">
        <v>59</v>
      </c>
      <c r="H6" s="112">
        <v>15</v>
      </c>
      <c r="I6" s="112" t="s">
        <v>107</v>
      </c>
      <c r="J6" s="114">
        <v>343500</v>
      </c>
      <c r="K6" s="115" t="s">
        <v>5</v>
      </c>
      <c r="L6" s="115" t="s">
        <v>6</v>
      </c>
      <c r="M6" s="111" t="s">
        <v>108</v>
      </c>
      <c r="N6" s="112" t="s">
        <v>126</v>
      </c>
      <c r="O6" s="113" t="s">
        <v>120</v>
      </c>
    </row>
    <row r="7" spans="1:15" ht="15" customHeight="1" x14ac:dyDescent="0.3">
      <c r="A7" s="107">
        <v>85</v>
      </c>
      <c r="B7" s="108" t="s">
        <v>127</v>
      </c>
      <c r="C7" s="108" t="s">
        <v>128</v>
      </c>
      <c r="D7" s="108" t="s">
        <v>129</v>
      </c>
      <c r="E7" s="108" t="s">
        <v>130</v>
      </c>
      <c r="F7" s="108" t="s">
        <v>131</v>
      </c>
      <c r="G7" s="108" t="s">
        <v>59</v>
      </c>
      <c r="H7" s="107">
        <v>25</v>
      </c>
      <c r="I7" s="107" t="s">
        <v>107</v>
      </c>
      <c r="J7" s="109">
        <v>685000</v>
      </c>
      <c r="K7" s="115" t="s">
        <v>5</v>
      </c>
      <c r="L7" s="115" t="s">
        <v>6</v>
      </c>
      <c r="M7" s="117" t="s">
        <v>132</v>
      </c>
      <c r="N7" s="107" t="s">
        <v>133</v>
      </c>
      <c r="O7" s="108" t="s">
        <v>134</v>
      </c>
    </row>
    <row r="8" spans="1:15" ht="15" customHeight="1" x14ac:dyDescent="0.3">
      <c r="A8" s="112">
        <v>84</v>
      </c>
      <c r="B8" s="113" t="s">
        <v>135</v>
      </c>
      <c r="C8" s="113" t="s">
        <v>136</v>
      </c>
      <c r="D8" s="113" t="s">
        <v>137</v>
      </c>
      <c r="E8" s="113" t="s">
        <v>138</v>
      </c>
      <c r="F8" s="113" t="s">
        <v>139</v>
      </c>
      <c r="G8" s="113" t="s">
        <v>59</v>
      </c>
      <c r="H8" s="112">
        <v>221</v>
      </c>
      <c r="I8" s="112" t="s">
        <v>107</v>
      </c>
      <c r="J8" s="114">
        <v>5060900</v>
      </c>
      <c r="K8" s="115" t="s">
        <v>5</v>
      </c>
      <c r="L8" s="115" t="s">
        <v>6</v>
      </c>
      <c r="M8" s="111" t="s">
        <v>108</v>
      </c>
      <c r="N8" s="112" t="s">
        <v>140</v>
      </c>
      <c r="O8" s="113" t="s">
        <v>141</v>
      </c>
    </row>
    <row r="9" spans="1:15" ht="15" customHeight="1" x14ac:dyDescent="0.3">
      <c r="A9" s="107">
        <v>83</v>
      </c>
      <c r="B9" s="108" t="s">
        <v>142</v>
      </c>
      <c r="C9" s="108" t="s">
        <v>143</v>
      </c>
      <c r="D9" s="108" t="s">
        <v>129</v>
      </c>
      <c r="E9" s="108" t="s">
        <v>130</v>
      </c>
      <c r="F9" s="108" t="s">
        <v>131</v>
      </c>
      <c r="G9" s="108" t="s">
        <v>59</v>
      </c>
      <c r="H9" s="107">
        <v>25</v>
      </c>
      <c r="I9" s="107" t="s">
        <v>107</v>
      </c>
      <c r="J9" s="109">
        <v>685000</v>
      </c>
      <c r="K9" s="118" t="s">
        <v>12</v>
      </c>
      <c r="L9" s="118" t="s">
        <v>13</v>
      </c>
      <c r="M9" s="117" t="s">
        <v>132</v>
      </c>
      <c r="N9" s="107" t="s">
        <v>144</v>
      </c>
      <c r="O9" s="108" t="s">
        <v>134</v>
      </c>
    </row>
    <row r="10" spans="1:15" ht="15" customHeight="1" x14ac:dyDescent="0.3">
      <c r="A10" s="112">
        <v>82</v>
      </c>
      <c r="B10" s="113" t="s">
        <v>145</v>
      </c>
      <c r="C10" s="113" t="s">
        <v>146</v>
      </c>
      <c r="D10" s="113" t="s">
        <v>129</v>
      </c>
      <c r="E10" s="113" t="s">
        <v>130</v>
      </c>
      <c r="F10" s="113" t="s">
        <v>131</v>
      </c>
      <c r="G10" s="113" t="s">
        <v>59</v>
      </c>
      <c r="H10" s="112">
        <v>25</v>
      </c>
      <c r="I10" s="112" t="s">
        <v>107</v>
      </c>
      <c r="J10" s="114">
        <v>685000</v>
      </c>
      <c r="K10" s="115" t="s">
        <v>5</v>
      </c>
      <c r="L10" s="115" t="s">
        <v>6</v>
      </c>
      <c r="M10" s="117" t="s">
        <v>132</v>
      </c>
      <c r="N10" s="112" t="s">
        <v>147</v>
      </c>
      <c r="O10" s="113" t="s">
        <v>134</v>
      </c>
    </row>
    <row r="11" spans="1:15" ht="15" customHeight="1" x14ac:dyDescent="0.3">
      <c r="A11" s="107">
        <v>81</v>
      </c>
      <c r="B11" s="108" t="s">
        <v>148</v>
      </c>
      <c r="C11" s="108" t="s">
        <v>149</v>
      </c>
      <c r="D11" s="108" t="s">
        <v>123</v>
      </c>
      <c r="E11" s="108" t="s">
        <v>150</v>
      </c>
      <c r="F11" s="108" t="s">
        <v>151</v>
      </c>
      <c r="G11" s="108" t="s">
        <v>63</v>
      </c>
      <c r="H11" s="107">
        <v>500</v>
      </c>
      <c r="I11" s="107" t="s">
        <v>107</v>
      </c>
      <c r="J11" s="109">
        <v>16000000</v>
      </c>
      <c r="K11" s="115" t="s">
        <v>5</v>
      </c>
      <c r="L11" s="115" t="s">
        <v>6</v>
      </c>
      <c r="M11" s="111" t="s">
        <v>108</v>
      </c>
      <c r="N11" s="107" t="s">
        <v>152</v>
      </c>
      <c r="O11" s="108" t="s">
        <v>120</v>
      </c>
    </row>
    <row r="12" spans="1:15" ht="15" customHeight="1" x14ac:dyDescent="0.3">
      <c r="A12" s="112">
        <v>68</v>
      </c>
      <c r="B12" s="113" t="s">
        <v>153</v>
      </c>
      <c r="C12" s="113" t="s">
        <v>154</v>
      </c>
      <c r="D12" s="113" t="s">
        <v>155</v>
      </c>
      <c r="E12" s="113" t="s">
        <v>150</v>
      </c>
      <c r="F12" s="113" t="s">
        <v>156</v>
      </c>
      <c r="G12" s="113" t="s">
        <v>63</v>
      </c>
      <c r="H12" s="112">
        <v>4</v>
      </c>
      <c r="I12" s="112" t="s">
        <v>107</v>
      </c>
      <c r="J12" s="114">
        <v>128000</v>
      </c>
      <c r="K12" s="118" t="s">
        <v>12</v>
      </c>
      <c r="L12" s="118" t="s">
        <v>13</v>
      </c>
      <c r="M12" s="111" t="s">
        <v>108</v>
      </c>
      <c r="N12" s="112" t="s">
        <v>157</v>
      </c>
      <c r="O12" s="113" t="s">
        <v>120</v>
      </c>
    </row>
    <row r="13" spans="1:15" ht="15" customHeight="1" x14ac:dyDescent="0.3">
      <c r="A13" s="107">
        <v>67</v>
      </c>
      <c r="B13" s="108" t="s">
        <v>158</v>
      </c>
      <c r="C13" s="108" t="s">
        <v>159</v>
      </c>
      <c r="D13" s="108" t="s">
        <v>160</v>
      </c>
      <c r="E13" s="108" t="s">
        <v>150</v>
      </c>
      <c r="F13" s="108" t="s">
        <v>161</v>
      </c>
      <c r="G13" s="108" t="s">
        <v>59</v>
      </c>
      <c r="H13" s="107">
        <v>400</v>
      </c>
      <c r="I13" s="107" t="s">
        <v>107</v>
      </c>
      <c r="J13" s="109">
        <v>9160000</v>
      </c>
      <c r="K13" s="110" t="s">
        <v>162</v>
      </c>
      <c r="L13" s="110" t="s">
        <v>10</v>
      </c>
      <c r="M13" s="111" t="s">
        <v>108</v>
      </c>
      <c r="N13" s="107" t="s">
        <v>163</v>
      </c>
      <c r="O13" s="108" t="s">
        <v>164</v>
      </c>
    </row>
    <row r="14" spans="1:15" ht="15" customHeight="1" x14ac:dyDescent="0.3">
      <c r="A14" s="112">
        <v>66</v>
      </c>
      <c r="B14" s="113" t="s">
        <v>165</v>
      </c>
      <c r="C14" s="113" t="s">
        <v>166</v>
      </c>
      <c r="D14" s="113" t="s">
        <v>160</v>
      </c>
      <c r="E14" s="113" t="s">
        <v>150</v>
      </c>
      <c r="F14" s="113" t="s">
        <v>167</v>
      </c>
      <c r="G14" s="113" t="s">
        <v>59</v>
      </c>
      <c r="H14" s="112">
        <v>2700</v>
      </c>
      <c r="I14" s="112" t="s">
        <v>107</v>
      </c>
      <c r="J14" s="114">
        <v>61830000</v>
      </c>
      <c r="K14" s="110" t="s">
        <v>162</v>
      </c>
      <c r="L14" s="110" t="s">
        <v>10</v>
      </c>
      <c r="M14" s="111" t="s">
        <v>108</v>
      </c>
      <c r="N14" s="112" t="s">
        <v>168</v>
      </c>
      <c r="O14" s="113" t="s">
        <v>164</v>
      </c>
    </row>
    <row r="15" spans="1:15" ht="15" customHeight="1" x14ac:dyDescent="0.3">
      <c r="A15" s="107">
        <v>65</v>
      </c>
      <c r="B15" s="108" t="s">
        <v>169</v>
      </c>
      <c r="C15" s="108" t="s">
        <v>170</v>
      </c>
      <c r="D15" s="108" t="s">
        <v>171</v>
      </c>
      <c r="E15" s="108" t="s">
        <v>172</v>
      </c>
      <c r="F15" s="108" t="s">
        <v>173</v>
      </c>
      <c r="G15" s="108" t="s">
        <v>61</v>
      </c>
      <c r="H15" s="107">
        <v>0</v>
      </c>
      <c r="I15" s="107" t="s">
        <v>107</v>
      </c>
      <c r="J15" s="109">
        <v>34200000</v>
      </c>
      <c r="K15" s="118" t="s">
        <v>12</v>
      </c>
      <c r="L15" s="118" t="s">
        <v>13</v>
      </c>
      <c r="M15" s="116" t="s">
        <v>118</v>
      </c>
      <c r="N15" s="107" t="s">
        <v>174</v>
      </c>
      <c r="O15" s="108"/>
    </row>
    <row r="16" spans="1:15" ht="15" customHeight="1" x14ac:dyDescent="0.3">
      <c r="A16" s="112">
        <v>64</v>
      </c>
      <c r="B16" s="113" t="s">
        <v>175</v>
      </c>
      <c r="C16" s="113" t="s">
        <v>176</v>
      </c>
      <c r="D16" s="113" t="s">
        <v>177</v>
      </c>
      <c r="E16" s="113" t="s">
        <v>178</v>
      </c>
      <c r="F16" s="113" t="s">
        <v>139</v>
      </c>
      <c r="G16" s="113" t="s">
        <v>64</v>
      </c>
      <c r="H16" s="112">
        <v>438</v>
      </c>
      <c r="I16" s="112" t="s">
        <v>107</v>
      </c>
      <c r="J16" s="114">
        <v>15330000</v>
      </c>
      <c r="K16" s="118" t="s">
        <v>12</v>
      </c>
      <c r="L16" s="118" t="s">
        <v>13</v>
      </c>
      <c r="M16" s="111" t="s">
        <v>108</v>
      </c>
      <c r="N16" s="112" t="s">
        <v>179</v>
      </c>
      <c r="O16" s="113"/>
    </row>
    <row r="17" spans="1:15" ht="15" customHeight="1" x14ac:dyDescent="0.3">
      <c r="A17" s="107">
        <v>63</v>
      </c>
      <c r="B17" s="108" t="s">
        <v>180</v>
      </c>
      <c r="C17" s="108" t="s">
        <v>176</v>
      </c>
      <c r="D17" s="108" t="s">
        <v>181</v>
      </c>
      <c r="E17" s="108" t="s">
        <v>182</v>
      </c>
      <c r="F17" s="108" t="s">
        <v>139</v>
      </c>
      <c r="G17" s="108" t="s">
        <v>59</v>
      </c>
      <c r="H17" s="107">
        <v>100</v>
      </c>
      <c r="I17" s="107" t="s">
        <v>107</v>
      </c>
      <c r="J17" s="109">
        <v>2290000</v>
      </c>
      <c r="K17" s="118" t="s">
        <v>12</v>
      </c>
      <c r="L17" s="118" t="s">
        <v>13</v>
      </c>
      <c r="M17" s="111" t="s">
        <v>108</v>
      </c>
      <c r="N17" s="107" t="s">
        <v>183</v>
      </c>
      <c r="O17" s="108"/>
    </row>
    <row r="18" spans="1:15" ht="15" customHeight="1" x14ac:dyDescent="0.3">
      <c r="A18" s="112">
        <v>62</v>
      </c>
      <c r="B18" s="113" t="s">
        <v>184</v>
      </c>
      <c r="C18" s="113" t="s">
        <v>185</v>
      </c>
      <c r="D18" s="113" t="s">
        <v>186</v>
      </c>
      <c r="E18" s="113" t="s">
        <v>187</v>
      </c>
      <c r="F18" s="113" t="s">
        <v>139</v>
      </c>
      <c r="G18" s="113" t="s">
        <v>59</v>
      </c>
      <c r="H18" s="112">
        <v>0</v>
      </c>
      <c r="I18" s="112" t="s">
        <v>107</v>
      </c>
      <c r="J18" s="114">
        <v>2541900</v>
      </c>
      <c r="K18" s="118" t="s">
        <v>12</v>
      </c>
      <c r="L18" s="118" t="s">
        <v>13</v>
      </c>
      <c r="M18" s="116" t="s">
        <v>118</v>
      </c>
      <c r="N18" s="112" t="s">
        <v>188</v>
      </c>
      <c r="O18" s="113"/>
    </row>
    <row r="19" spans="1:15" ht="15" customHeight="1" x14ac:dyDescent="0.3">
      <c r="A19" s="107">
        <v>60</v>
      </c>
      <c r="B19" s="108" t="s">
        <v>189</v>
      </c>
      <c r="C19" s="108" t="s">
        <v>190</v>
      </c>
      <c r="D19" s="108"/>
      <c r="E19" s="108"/>
      <c r="F19" s="108"/>
      <c r="G19" s="108"/>
      <c r="H19" s="107">
        <v>0</v>
      </c>
      <c r="I19" s="107" t="s">
        <v>107</v>
      </c>
      <c r="J19" s="109">
        <v>0</v>
      </c>
      <c r="K19" s="118" t="s">
        <v>12</v>
      </c>
      <c r="L19" s="118" t="s">
        <v>13</v>
      </c>
      <c r="M19" s="117" t="s">
        <v>132</v>
      </c>
      <c r="N19" s="107" t="s">
        <v>191</v>
      </c>
      <c r="O19" s="108"/>
    </row>
    <row r="20" spans="1:15" ht="15" customHeight="1" x14ac:dyDescent="0.3">
      <c r="A20" s="112">
        <v>59</v>
      </c>
      <c r="B20" s="113" t="s">
        <v>192</v>
      </c>
      <c r="C20" s="113" t="s">
        <v>190</v>
      </c>
      <c r="D20" s="113" t="s">
        <v>193</v>
      </c>
      <c r="E20" s="113" t="s">
        <v>194</v>
      </c>
      <c r="F20" s="113" t="s">
        <v>139</v>
      </c>
      <c r="G20" s="113" t="s">
        <v>62</v>
      </c>
      <c r="H20" s="112">
        <v>0</v>
      </c>
      <c r="I20" s="112" t="s">
        <v>107</v>
      </c>
      <c r="J20" s="114">
        <v>3163500</v>
      </c>
      <c r="K20" s="118" t="s">
        <v>12</v>
      </c>
      <c r="L20" s="118" t="s">
        <v>13</v>
      </c>
      <c r="M20" s="116" t="s">
        <v>118</v>
      </c>
      <c r="N20" s="112" t="s">
        <v>195</v>
      </c>
      <c r="O20" s="113"/>
    </row>
    <row r="21" spans="1:15" ht="15" customHeight="1" x14ac:dyDescent="0.3">
      <c r="A21" s="107">
        <v>58</v>
      </c>
      <c r="B21" s="108" t="s">
        <v>196</v>
      </c>
      <c r="C21" s="108" t="s">
        <v>190</v>
      </c>
      <c r="D21" s="108" t="s">
        <v>193</v>
      </c>
      <c r="E21" s="108" t="s">
        <v>194</v>
      </c>
      <c r="F21" s="108" t="s">
        <v>139</v>
      </c>
      <c r="G21" s="108" t="s">
        <v>62</v>
      </c>
      <c r="H21" s="107">
        <v>111</v>
      </c>
      <c r="I21" s="107" t="s">
        <v>107</v>
      </c>
      <c r="J21" s="109">
        <v>3163500</v>
      </c>
      <c r="K21" s="118" t="s">
        <v>12</v>
      </c>
      <c r="L21" s="118" t="s">
        <v>13</v>
      </c>
      <c r="M21" s="111" t="s">
        <v>108</v>
      </c>
      <c r="N21" s="107" t="s">
        <v>197</v>
      </c>
      <c r="O21" s="108"/>
    </row>
    <row r="22" spans="1:15" ht="15" customHeight="1" x14ac:dyDescent="0.3">
      <c r="A22" s="112">
        <v>57</v>
      </c>
      <c r="B22" s="113" t="s">
        <v>198</v>
      </c>
      <c r="C22" s="113" t="s">
        <v>199</v>
      </c>
      <c r="D22" s="113"/>
      <c r="E22" s="113"/>
      <c r="F22" s="113"/>
      <c r="G22" s="113"/>
      <c r="H22" s="112">
        <v>0</v>
      </c>
      <c r="I22" s="112" t="s">
        <v>107</v>
      </c>
      <c r="J22" s="114">
        <v>0</v>
      </c>
      <c r="K22" s="118" t="s">
        <v>12</v>
      </c>
      <c r="L22" s="118" t="s">
        <v>13</v>
      </c>
      <c r="M22" s="117" t="s">
        <v>132</v>
      </c>
      <c r="N22" s="112" t="s">
        <v>200</v>
      </c>
      <c r="O22" s="113"/>
    </row>
    <row r="23" spans="1:15" ht="15" customHeight="1" x14ac:dyDescent="0.3">
      <c r="A23" s="107">
        <v>54</v>
      </c>
      <c r="B23" s="108" t="s">
        <v>201</v>
      </c>
      <c r="C23" s="108" t="s">
        <v>202</v>
      </c>
      <c r="D23" s="108" t="s">
        <v>203</v>
      </c>
      <c r="E23" s="108" t="s">
        <v>204</v>
      </c>
      <c r="F23" s="108" t="s">
        <v>205</v>
      </c>
      <c r="G23" s="108" t="s">
        <v>62</v>
      </c>
      <c r="H23" s="107">
        <v>25</v>
      </c>
      <c r="I23" s="107" t="s">
        <v>107</v>
      </c>
      <c r="J23" s="109">
        <v>825000</v>
      </c>
      <c r="K23" s="118" t="s">
        <v>12</v>
      </c>
      <c r="L23" s="118" t="s">
        <v>13</v>
      </c>
      <c r="M23" s="117" t="s">
        <v>132</v>
      </c>
      <c r="N23" s="107" t="s">
        <v>206</v>
      </c>
      <c r="O23" s="108"/>
    </row>
    <row r="24" spans="1:15" ht="15" customHeight="1" x14ac:dyDescent="0.3">
      <c r="A24" s="112">
        <v>52</v>
      </c>
      <c r="B24" s="113" t="s">
        <v>207</v>
      </c>
      <c r="C24" s="113" t="s">
        <v>208</v>
      </c>
      <c r="D24" s="113"/>
      <c r="E24" s="113"/>
      <c r="F24" s="113"/>
      <c r="G24" s="113"/>
      <c r="H24" s="112">
        <v>0</v>
      </c>
      <c r="I24" s="112" t="s">
        <v>107</v>
      </c>
      <c r="J24" s="114">
        <v>0</v>
      </c>
      <c r="K24" s="118" t="s">
        <v>12</v>
      </c>
      <c r="L24" s="118" t="s">
        <v>13</v>
      </c>
      <c r="M24" s="117" t="s">
        <v>132</v>
      </c>
      <c r="N24" s="112" t="s">
        <v>209</v>
      </c>
      <c r="O24" s="113"/>
    </row>
    <row r="25" spans="1:15" ht="15" customHeight="1" x14ac:dyDescent="0.3">
      <c r="A25" s="107">
        <v>47</v>
      </c>
      <c r="B25" s="108" t="s">
        <v>210</v>
      </c>
      <c r="C25" s="108" t="s">
        <v>211</v>
      </c>
      <c r="D25" s="108"/>
      <c r="E25" s="108"/>
      <c r="F25" s="108"/>
      <c r="G25" s="108"/>
      <c r="H25" s="107">
        <v>0</v>
      </c>
      <c r="I25" s="107" t="s">
        <v>107</v>
      </c>
      <c r="J25" s="109">
        <v>0</v>
      </c>
      <c r="K25" s="118" t="s">
        <v>12</v>
      </c>
      <c r="L25" s="118" t="s">
        <v>13</v>
      </c>
      <c r="M25" s="117" t="s">
        <v>132</v>
      </c>
      <c r="N25" s="107" t="s">
        <v>212</v>
      </c>
      <c r="O25" s="108"/>
    </row>
    <row r="26" spans="1:15" ht="15" customHeight="1" x14ac:dyDescent="0.3">
      <c r="A26" s="112">
        <v>44</v>
      </c>
      <c r="B26" s="113" t="s">
        <v>213</v>
      </c>
      <c r="C26" s="113" t="s">
        <v>199</v>
      </c>
      <c r="D26" s="113" t="s">
        <v>214</v>
      </c>
      <c r="E26" s="113" t="s">
        <v>215</v>
      </c>
      <c r="F26" s="113" t="s">
        <v>139</v>
      </c>
      <c r="G26" s="113" t="s">
        <v>60</v>
      </c>
      <c r="H26" s="112">
        <v>660</v>
      </c>
      <c r="I26" s="112" t="s">
        <v>107</v>
      </c>
      <c r="J26" s="114">
        <v>23100000</v>
      </c>
      <c r="K26" s="118" t="s">
        <v>12</v>
      </c>
      <c r="L26" s="118" t="s">
        <v>13</v>
      </c>
      <c r="M26" s="111" t="s">
        <v>108</v>
      </c>
      <c r="N26" s="112" t="s">
        <v>216</v>
      </c>
      <c r="O26" s="113"/>
    </row>
    <row r="27" spans="1:15" ht="15" customHeight="1" x14ac:dyDescent="0.3">
      <c r="A27" s="107">
        <v>42</v>
      </c>
      <c r="B27" s="108" t="s">
        <v>217</v>
      </c>
      <c r="C27" s="108" t="s">
        <v>199</v>
      </c>
      <c r="D27" s="108" t="s">
        <v>218</v>
      </c>
      <c r="E27" s="108" t="s">
        <v>219</v>
      </c>
      <c r="F27" s="108" t="s">
        <v>220</v>
      </c>
      <c r="G27" s="108" t="s">
        <v>59</v>
      </c>
      <c r="H27" s="107">
        <v>100</v>
      </c>
      <c r="I27" s="107" t="s">
        <v>107</v>
      </c>
      <c r="J27" s="109">
        <v>2290000</v>
      </c>
      <c r="K27" s="118" t="s">
        <v>12</v>
      </c>
      <c r="L27" s="118" t="s">
        <v>13</v>
      </c>
      <c r="M27" s="111" t="s">
        <v>108</v>
      </c>
      <c r="N27" s="107" t="s">
        <v>221</v>
      </c>
      <c r="O27" s="108"/>
    </row>
    <row r="28" spans="1:15" ht="15" customHeight="1" x14ac:dyDescent="0.3">
      <c r="A28" s="112">
        <v>40</v>
      </c>
      <c r="B28" s="113" t="s">
        <v>222</v>
      </c>
      <c r="C28" s="113" t="s">
        <v>223</v>
      </c>
      <c r="D28" s="113" t="s">
        <v>218</v>
      </c>
      <c r="E28" s="113" t="s">
        <v>224</v>
      </c>
      <c r="F28" s="113" t="s">
        <v>139</v>
      </c>
      <c r="G28" s="113" t="s">
        <v>65</v>
      </c>
      <c r="H28" s="112">
        <v>100</v>
      </c>
      <c r="I28" s="112" t="s">
        <v>107</v>
      </c>
      <c r="J28" s="114">
        <v>2600000</v>
      </c>
      <c r="K28" s="118" t="s">
        <v>12</v>
      </c>
      <c r="L28" s="118" t="s">
        <v>13</v>
      </c>
      <c r="M28" s="111" t="s">
        <v>108</v>
      </c>
      <c r="N28" s="112" t="s">
        <v>225</v>
      </c>
      <c r="O28" s="113"/>
    </row>
    <row r="29" spans="1:15" ht="15" customHeight="1" x14ac:dyDescent="0.3">
      <c r="A29" s="107">
        <v>39</v>
      </c>
      <c r="B29" s="108" t="s">
        <v>226</v>
      </c>
      <c r="C29" s="108" t="s">
        <v>223</v>
      </c>
      <c r="D29" s="108" t="s">
        <v>227</v>
      </c>
      <c r="E29" s="108" t="s">
        <v>228</v>
      </c>
      <c r="F29" s="108" t="s">
        <v>220</v>
      </c>
      <c r="G29" s="108" t="s">
        <v>59</v>
      </c>
      <c r="H29" s="107">
        <v>100</v>
      </c>
      <c r="I29" s="107" t="s">
        <v>107</v>
      </c>
      <c r="J29" s="109">
        <v>2290000</v>
      </c>
      <c r="K29" s="118" t="s">
        <v>12</v>
      </c>
      <c r="L29" s="118" t="s">
        <v>13</v>
      </c>
      <c r="M29" s="111" t="s">
        <v>108</v>
      </c>
      <c r="N29" s="107" t="s">
        <v>229</v>
      </c>
      <c r="O29" s="108"/>
    </row>
    <row r="30" spans="1:15" ht="15" customHeight="1" x14ac:dyDescent="0.3">
      <c r="A30" s="112">
        <v>37</v>
      </c>
      <c r="B30" s="113" t="s">
        <v>230</v>
      </c>
      <c r="C30" s="113" t="s">
        <v>231</v>
      </c>
      <c r="D30" s="113" t="s">
        <v>232</v>
      </c>
      <c r="E30" s="113" t="s">
        <v>138</v>
      </c>
      <c r="F30" s="113" t="s">
        <v>233</v>
      </c>
      <c r="G30" s="113" t="s">
        <v>59</v>
      </c>
      <c r="H30" s="112">
        <v>100</v>
      </c>
      <c r="I30" s="112" t="s">
        <v>107</v>
      </c>
      <c r="J30" s="114">
        <v>2740000</v>
      </c>
      <c r="K30" s="118" t="s">
        <v>12</v>
      </c>
      <c r="L30" s="118" t="s">
        <v>13</v>
      </c>
      <c r="M30" s="111" t="s">
        <v>108</v>
      </c>
      <c r="N30" s="112" t="s">
        <v>234</v>
      </c>
      <c r="O30" s="113"/>
    </row>
    <row r="31" spans="1:15" ht="15" customHeight="1" x14ac:dyDescent="0.3">
      <c r="A31" s="107">
        <v>35</v>
      </c>
      <c r="B31" s="108" t="s">
        <v>235</v>
      </c>
      <c r="C31" s="108" t="s">
        <v>236</v>
      </c>
      <c r="D31" s="108" t="s">
        <v>203</v>
      </c>
      <c r="E31" s="108" t="s">
        <v>204</v>
      </c>
      <c r="F31" s="108" t="s">
        <v>205</v>
      </c>
      <c r="G31" s="108" t="s">
        <v>62</v>
      </c>
      <c r="H31" s="107">
        <v>25</v>
      </c>
      <c r="I31" s="107" t="s">
        <v>107</v>
      </c>
      <c r="J31" s="109">
        <v>825000</v>
      </c>
      <c r="K31" s="118" t="s">
        <v>12</v>
      </c>
      <c r="L31" s="118" t="s">
        <v>13</v>
      </c>
      <c r="M31" s="117" t="s">
        <v>132</v>
      </c>
      <c r="N31" s="107" t="s">
        <v>237</v>
      </c>
      <c r="O31" s="108"/>
    </row>
    <row r="32" spans="1:15" ht="15" customHeight="1" x14ac:dyDescent="0.3">
      <c r="A32" s="112">
        <v>33</v>
      </c>
      <c r="B32" s="113" t="s">
        <v>238</v>
      </c>
      <c r="C32" s="113" t="s">
        <v>239</v>
      </c>
      <c r="D32" s="113" t="s">
        <v>203</v>
      </c>
      <c r="E32" s="113" t="s">
        <v>204</v>
      </c>
      <c r="F32" s="113" t="s">
        <v>205</v>
      </c>
      <c r="G32" s="113" t="s">
        <v>62</v>
      </c>
      <c r="H32" s="112">
        <v>25</v>
      </c>
      <c r="I32" s="112" t="s">
        <v>107</v>
      </c>
      <c r="J32" s="114">
        <v>825000</v>
      </c>
      <c r="K32" s="118" t="s">
        <v>12</v>
      </c>
      <c r="L32" s="118" t="s">
        <v>13</v>
      </c>
      <c r="M32" s="117" t="s">
        <v>132</v>
      </c>
      <c r="N32" s="112" t="s">
        <v>240</v>
      </c>
      <c r="O32" s="113"/>
    </row>
    <row r="33" spans="1:15" ht="15" customHeight="1" x14ac:dyDescent="0.3">
      <c r="A33" s="107">
        <v>31</v>
      </c>
      <c r="B33" s="108" t="s">
        <v>241</v>
      </c>
      <c r="C33" s="108" t="s">
        <v>242</v>
      </c>
      <c r="D33" s="108" t="s">
        <v>203</v>
      </c>
      <c r="E33" s="108" t="s">
        <v>204</v>
      </c>
      <c r="F33" s="108" t="s">
        <v>205</v>
      </c>
      <c r="G33" s="108" t="s">
        <v>62</v>
      </c>
      <c r="H33" s="107">
        <v>0</v>
      </c>
      <c r="I33" s="107" t="s">
        <v>107</v>
      </c>
      <c r="J33" s="109">
        <v>825000</v>
      </c>
      <c r="K33" s="118" t="s">
        <v>12</v>
      </c>
      <c r="L33" s="118" t="s">
        <v>13</v>
      </c>
      <c r="M33" s="117" t="s">
        <v>132</v>
      </c>
      <c r="N33" s="107" t="s">
        <v>243</v>
      </c>
      <c r="O33" s="108"/>
    </row>
    <row r="34" spans="1:15" ht="15" customHeight="1" x14ac:dyDescent="0.3">
      <c r="A34" s="112">
        <v>29</v>
      </c>
      <c r="B34" s="113" t="s">
        <v>244</v>
      </c>
      <c r="C34" s="113" t="s">
        <v>231</v>
      </c>
      <c r="D34" s="113" t="s">
        <v>245</v>
      </c>
      <c r="E34" s="113" t="s">
        <v>246</v>
      </c>
      <c r="F34" s="113" t="s">
        <v>139</v>
      </c>
      <c r="G34" s="113" t="s">
        <v>65</v>
      </c>
      <c r="H34" s="112">
        <v>100</v>
      </c>
      <c r="I34" s="112" t="s">
        <v>107</v>
      </c>
      <c r="J34" s="114">
        <v>2600000</v>
      </c>
      <c r="K34" s="118" t="s">
        <v>12</v>
      </c>
      <c r="L34" s="118" t="s">
        <v>13</v>
      </c>
      <c r="M34" s="111" t="s">
        <v>108</v>
      </c>
      <c r="N34" s="112" t="s">
        <v>247</v>
      </c>
      <c r="O34" s="113"/>
    </row>
    <row r="35" spans="1:15" ht="15" customHeight="1" x14ac:dyDescent="0.3">
      <c r="A35" s="107">
        <v>26</v>
      </c>
      <c r="B35" s="108" t="s">
        <v>248</v>
      </c>
      <c r="C35" s="108" t="s">
        <v>231</v>
      </c>
      <c r="D35" s="108" t="s">
        <v>232</v>
      </c>
      <c r="E35" s="108" t="s">
        <v>249</v>
      </c>
      <c r="F35" s="108" t="s">
        <v>139</v>
      </c>
      <c r="G35" s="108" t="s">
        <v>62</v>
      </c>
      <c r="H35" s="107">
        <v>400</v>
      </c>
      <c r="I35" s="107" t="s">
        <v>107</v>
      </c>
      <c r="J35" s="109">
        <v>11400000</v>
      </c>
      <c r="K35" s="118" t="s">
        <v>12</v>
      </c>
      <c r="L35" s="118" t="s">
        <v>13</v>
      </c>
      <c r="M35" s="111" t="s">
        <v>108</v>
      </c>
      <c r="N35" s="107" t="s">
        <v>250</v>
      </c>
      <c r="O35" s="108"/>
    </row>
    <row r="36" spans="1:15" ht="15" customHeight="1" x14ac:dyDescent="0.3">
      <c r="A36" s="112">
        <v>25</v>
      </c>
      <c r="B36" s="113" t="s">
        <v>251</v>
      </c>
      <c r="C36" s="113" t="s">
        <v>231</v>
      </c>
      <c r="D36" s="113" t="s">
        <v>232</v>
      </c>
      <c r="E36" s="113" t="s">
        <v>252</v>
      </c>
      <c r="F36" s="113" t="s">
        <v>233</v>
      </c>
      <c r="G36" s="113" t="s">
        <v>59</v>
      </c>
      <c r="H36" s="112">
        <v>400</v>
      </c>
      <c r="I36" s="112" t="s">
        <v>107</v>
      </c>
      <c r="J36" s="114">
        <v>9160000</v>
      </c>
      <c r="K36" s="118" t="s">
        <v>12</v>
      </c>
      <c r="L36" s="118" t="s">
        <v>13</v>
      </c>
      <c r="M36" s="111" t="s">
        <v>108</v>
      </c>
      <c r="N36" s="112" t="s">
        <v>253</v>
      </c>
      <c r="O36" s="113"/>
    </row>
    <row r="37" spans="1:15" ht="15" customHeight="1" x14ac:dyDescent="0.3">
      <c r="A37" s="107">
        <v>23</v>
      </c>
      <c r="B37" s="108" t="s">
        <v>254</v>
      </c>
      <c r="C37" s="108" t="s">
        <v>231</v>
      </c>
      <c r="D37" s="108" t="s">
        <v>255</v>
      </c>
      <c r="E37" s="108" t="s">
        <v>256</v>
      </c>
      <c r="F37" s="108" t="s">
        <v>139</v>
      </c>
      <c r="G37" s="108" t="s">
        <v>60</v>
      </c>
      <c r="H37" s="107">
        <v>991</v>
      </c>
      <c r="I37" s="107" t="s">
        <v>107</v>
      </c>
      <c r="J37" s="109">
        <v>34685000</v>
      </c>
      <c r="K37" s="118" t="s">
        <v>12</v>
      </c>
      <c r="L37" s="118" t="s">
        <v>13</v>
      </c>
      <c r="M37" s="111" t="s">
        <v>108</v>
      </c>
      <c r="N37" s="107" t="s">
        <v>257</v>
      </c>
      <c r="O37" s="108"/>
    </row>
    <row r="38" spans="1:15" ht="15" customHeight="1" x14ac:dyDescent="0.3">
      <c r="A38" s="112">
        <v>22</v>
      </c>
      <c r="B38" s="113" t="s">
        <v>258</v>
      </c>
      <c r="C38" s="113" t="s">
        <v>259</v>
      </c>
      <c r="D38" s="113" t="s">
        <v>129</v>
      </c>
      <c r="E38" s="113" t="s">
        <v>130</v>
      </c>
      <c r="F38" s="113" t="s">
        <v>131</v>
      </c>
      <c r="G38" s="113" t="s">
        <v>62</v>
      </c>
      <c r="H38" s="112">
        <v>0</v>
      </c>
      <c r="I38" s="112" t="s">
        <v>107</v>
      </c>
      <c r="J38" s="114">
        <v>825000</v>
      </c>
      <c r="K38" s="118" t="s">
        <v>12</v>
      </c>
      <c r="L38" s="118" t="s">
        <v>13</v>
      </c>
      <c r="M38" s="117" t="s">
        <v>132</v>
      </c>
      <c r="N38" s="112" t="s">
        <v>260</v>
      </c>
      <c r="O38" s="113"/>
    </row>
    <row r="39" spans="1:15" ht="15" customHeight="1" x14ac:dyDescent="0.3">
      <c r="A39" s="107">
        <v>20</v>
      </c>
      <c r="B39" s="108" t="s">
        <v>261</v>
      </c>
      <c r="C39" s="108" t="s">
        <v>262</v>
      </c>
      <c r="D39" s="108" t="s">
        <v>123</v>
      </c>
      <c r="E39" s="108" t="s">
        <v>263</v>
      </c>
      <c r="F39" s="108" t="s">
        <v>233</v>
      </c>
      <c r="G39" s="108" t="s">
        <v>61</v>
      </c>
      <c r="H39" s="107">
        <v>108</v>
      </c>
      <c r="I39" s="107" t="s">
        <v>107</v>
      </c>
      <c r="J39" s="109">
        <v>4104000</v>
      </c>
      <c r="K39" s="118" t="s">
        <v>12</v>
      </c>
      <c r="L39" s="118" t="s">
        <v>13</v>
      </c>
      <c r="M39" s="111" t="s">
        <v>108</v>
      </c>
      <c r="N39" s="107" t="s">
        <v>264</v>
      </c>
      <c r="O39" s="108"/>
    </row>
    <row r="40" spans="1:15" ht="15" customHeight="1" x14ac:dyDescent="0.3">
      <c r="A40" s="112">
        <v>19</v>
      </c>
      <c r="B40" s="113" t="s">
        <v>265</v>
      </c>
      <c r="C40" s="113" t="s">
        <v>266</v>
      </c>
      <c r="D40" s="113" t="s">
        <v>129</v>
      </c>
      <c r="E40" s="113" t="s">
        <v>130</v>
      </c>
      <c r="F40" s="113" t="s">
        <v>131</v>
      </c>
      <c r="G40" s="113" t="s">
        <v>62</v>
      </c>
      <c r="H40" s="112">
        <v>0</v>
      </c>
      <c r="I40" s="112" t="s">
        <v>107</v>
      </c>
      <c r="J40" s="114">
        <v>825000</v>
      </c>
      <c r="K40" s="118" t="s">
        <v>12</v>
      </c>
      <c r="L40" s="118" t="s">
        <v>13</v>
      </c>
      <c r="M40" s="117" t="s">
        <v>132</v>
      </c>
      <c r="N40" s="112" t="s">
        <v>267</v>
      </c>
      <c r="O40" s="113"/>
    </row>
    <row r="41" spans="1:15" ht="15" customHeight="1" x14ac:dyDescent="0.3">
      <c r="A41" s="107">
        <v>18</v>
      </c>
      <c r="B41" s="108" t="s">
        <v>268</v>
      </c>
      <c r="C41" s="108" t="s">
        <v>269</v>
      </c>
      <c r="D41" s="108" t="s">
        <v>129</v>
      </c>
      <c r="E41" s="108" t="s">
        <v>130</v>
      </c>
      <c r="F41" s="108" t="s">
        <v>131</v>
      </c>
      <c r="G41" s="108" t="s">
        <v>62</v>
      </c>
      <c r="H41" s="107">
        <v>25</v>
      </c>
      <c r="I41" s="107" t="s">
        <v>107</v>
      </c>
      <c r="J41" s="109">
        <v>825000</v>
      </c>
      <c r="K41" s="118" t="s">
        <v>12</v>
      </c>
      <c r="L41" s="118" t="s">
        <v>13</v>
      </c>
      <c r="M41" s="117" t="s">
        <v>132</v>
      </c>
      <c r="N41" s="107" t="s">
        <v>270</v>
      </c>
      <c r="O41" s="108"/>
    </row>
    <row r="42" spans="1:15" ht="15" customHeight="1" x14ac:dyDescent="0.3">
      <c r="A42" s="112">
        <v>17</v>
      </c>
      <c r="B42" s="113" t="s">
        <v>271</v>
      </c>
      <c r="C42" s="113" t="s">
        <v>272</v>
      </c>
      <c r="D42" s="113" t="s">
        <v>129</v>
      </c>
      <c r="E42" s="113" t="s">
        <v>130</v>
      </c>
      <c r="F42" s="113" t="s">
        <v>131</v>
      </c>
      <c r="G42" s="113" t="s">
        <v>62</v>
      </c>
      <c r="H42" s="112">
        <v>25</v>
      </c>
      <c r="I42" s="112" t="s">
        <v>107</v>
      </c>
      <c r="J42" s="114">
        <v>825000</v>
      </c>
      <c r="K42" s="118" t="s">
        <v>12</v>
      </c>
      <c r="L42" s="118" t="s">
        <v>13</v>
      </c>
      <c r="M42" s="117" t="s">
        <v>132</v>
      </c>
      <c r="N42" s="112" t="s">
        <v>273</v>
      </c>
      <c r="O42" s="113"/>
    </row>
    <row r="43" spans="1:15" ht="15" customHeight="1" x14ac:dyDescent="0.3">
      <c r="A43" s="107">
        <v>15</v>
      </c>
      <c r="B43" s="108" t="s">
        <v>274</v>
      </c>
      <c r="C43" s="108" t="s">
        <v>262</v>
      </c>
      <c r="D43" s="108" t="s">
        <v>177</v>
      </c>
      <c r="E43" s="108" t="s">
        <v>275</v>
      </c>
      <c r="F43" s="108" t="s">
        <v>139</v>
      </c>
      <c r="G43" s="108" t="s">
        <v>62</v>
      </c>
      <c r="H43" s="107">
        <v>30</v>
      </c>
      <c r="I43" s="107" t="s">
        <v>107</v>
      </c>
      <c r="J43" s="109">
        <v>855000</v>
      </c>
      <c r="K43" s="118" t="s">
        <v>12</v>
      </c>
      <c r="L43" s="118" t="s">
        <v>13</v>
      </c>
      <c r="M43" s="111" t="s">
        <v>108</v>
      </c>
      <c r="N43" s="107" t="s">
        <v>276</v>
      </c>
      <c r="O43" s="108"/>
    </row>
    <row r="44" spans="1:15" ht="15" customHeight="1" x14ac:dyDescent="0.3">
      <c r="A44" s="112">
        <v>13</v>
      </c>
      <c r="B44" s="113" t="s">
        <v>277</v>
      </c>
      <c r="C44" s="113" t="s">
        <v>278</v>
      </c>
      <c r="D44" s="113" t="s">
        <v>279</v>
      </c>
      <c r="E44" s="113" t="s">
        <v>280</v>
      </c>
      <c r="F44" s="113" t="s">
        <v>281</v>
      </c>
      <c r="G44" s="113" t="s">
        <v>62</v>
      </c>
      <c r="H44" s="112">
        <v>0</v>
      </c>
      <c r="I44" s="112" t="s">
        <v>107</v>
      </c>
      <c r="J44" s="114">
        <v>825000</v>
      </c>
      <c r="K44" s="118" t="s">
        <v>12</v>
      </c>
      <c r="L44" s="118" t="s">
        <v>13</v>
      </c>
      <c r="M44" s="117" t="s">
        <v>132</v>
      </c>
      <c r="N44" s="112" t="s">
        <v>282</v>
      </c>
      <c r="O44" s="113"/>
    </row>
    <row r="45" spans="1:15" ht="15" customHeight="1" x14ac:dyDescent="0.3">
      <c r="A45" s="107">
        <v>12</v>
      </c>
      <c r="B45" s="108" t="s">
        <v>283</v>
      </c>
      <c r="C45" s="108" t="s">
        <v>284</v>
      </c>
      <c r="D45" s="108" t="s">
        <v>129</v>
      </c>
      <c r="E45" s="108" t="s">
        <v>130</v>
      </c>
      <c r="F45" s="108" t="s">
        <v>131</v>
      </c>
      <c r="G45" s="108" t="s">
        <v>62</v>
      </c>
      <c r="H45" s="107">
        <v>25</v>
      </c>
      <c r="I45" s="107" t="s">
        <v>107</v>
      </c>
      <c r="J45" s="109">
        <v>825000</v>
      </c>
      <c r="K45" s="118" t="s">
        <v>12</v>
      </c>
      <c r="L45" s="118" t="s">
        <v>13</v>
      </c>
      <c r="M45" s="117" t="s">
        <v>132</v>
      </c>
      <c r="N45" s="107" t="s">
        <v>285</v>
      </c>
      <c r="O45" s="108"/>
    </row>
    <row r="46" spans="1:15" ht="15" customHeight="1" x14ac:dyDescent="0.3">
      <c r="A46" s="112">
        <v>10</v>
      </c>
      <c r="B46" s="113" t="s">
        <v>286</v>
      </c>
      <c r="C46" s="113" t="s">
        <v>262</v>
      </c>
      <c r="D46" s="113" t="s">
        <v>177</v>
      </c>
      <c r="E46" s="113" t="s">
        <v>275</v>
      </c>
      <c r="F46" s="113" t="s">
        <v>139</v>
      </c>
      <c r="G46" s="113" t="s">
        <v>59</v>
      </c>
      <c r="H46" s="112">
        <v>30</v>
      </c>
      <c r="I46" s="112" t="s">
        <v>107</v>
      </c>
      <c r="J46" s="114">
        <v>687000</v>
      </c>
      <c r="K46" s="118" t="s">
        <v>12</v>
      </c>
      <c r="L46" s="118" t="s">
        <v>13</v>
      </c>
      <c r="M46" s="111" t="s">
        <v>108</v>
      </c>
      <c r="N46" s="112" t="s">
        <v>287</v>
      </c>
      <c r="O46" s="113"/>
    </row>
    <row r="47" spans="1:15" ht="15" customHeight="1" x14ac:dyDescent="0.3">
      <c r="A47" s="107">
        <v>8</v>
      </c>
      <c r="B47" s="108" t="s">
        <v>288</v>
      </c>
      <c r="C47" s="108" t="s">
        <v>262</v>
      </c>
      <c r="D47" s="108" t="s">
        <v>177</v>
      </c>
      <c r="E47" s="108" t="s">
        <v>275</v>
      </c>
      <c r="F47" s="108" t="s">
        <v>139</v>
      </c>
      <c r="G47" s="108" t="s">
        <v>61</v>
      </c>
      <c r="H47" s="107">
        <v>20</v>
      </c>
      <c r="I47" s="107" t="s">
        <v>107</v>
      </c>
      <c r="J47" s="109">
        <v>760000</v>
      </c>
      <c r="K47" s="118" t="s">
        <v>12</v>
      </c>
      <c r="L47" s="118" t="s">
        <v>13</v>
      </c>
      <c r="M47" s="111" t="s">
        <v>108</v>
      </c>
      <c r="N47" s="107" t="s">
        <v>289</v>
      </c>
      <c r="O47" s="108"/>
    </row>
    <row r="48" spans="1:15" ht="15" customHeight="1" x14ac:dyDescent="0.3">
      <c r="A48" s="112">
        <v>7</v>
      </c>
      <c r="B48" s="113" t="s">
        <v>290</v>
      </c>
      <c r="C48" s="113" t="s">
        <v>291</v>
      </c>
      <c r="D48" s="113" t="s">
        <v>129</v>
      </c>
      <c r="E48" s="113" t="s">
        <v>130</v>
      </c>
      <c r="F48" s="113" t="s">
        <v>131</v>
      </c>
      <c r="G48" s="113" t="s">
        <v>62</v>
      </c>
      <c r="H48" s="112">
        <v>25</v>
      </c>
      <c r="I48" s="112" t="s">
        <v>107</v>
      </c>
      <c r="J48" s="114">
        <v>825000</v>
      </c>
      <c r="K48" s="118" t="s">
        <v>12</v>
      </c>
      <c r="L48" s="118" t="s">
        <v>13</v>
      </c>
      <c r="M48" s="117" t="s">
        <v>132</v>
      </c>
      <c r="N48" s="112" t="s">
        <v>292</v>
      </c>
      <c r="O48" s="113"/>
    </row>
    <row r="49" spans="1:15" ht="15" customHeight="1" x14ac:dyDescent="0.3">
      <c r="A49" s="107">
        <v>6</v>
      </c>
      <c r="B49" s="108" t="s">
        <v>293</v>
      </c>
      <c r="C49" s="108" t="s">
        <v>294</v>
      </c>
      <c r="D49" s="108" t="s">
        <v>129</v>
      </c>
      <c r="E49" s="108" t="s">
        <v>130</v>
      </c>
      <c r="F49" s="108" t="s">
        <v>131</v>
      </c>
      <c r="G49" s="108" t="s">
        <v>62</v>
      </c>
      <c r="H49" s="107">
        <v>0</v>
      </c>
      <c r="I49" s="107" t="s">
        <v>107</v>
      </c>
      <c r="J49" s="109">
        <v>825000</v>
      </c>
      <c r="K49" s="118" t="s">
        <v>12</v>
      </c>
      <c r="L49" s="118" t="s">
        <v>13</v>
      </c>
      <c r="M49" s="117" t="s">
        <v>132</v>
      </c>
      <c r="N49" s="107" t="s">
        <v>295</v>
      </c>
      <c r="O49" s="108"/>
    </row>
    <row r="50" spans="1:15" ht="15" customHeight="1" x14ac:dyDescent="0.3">
      <c r="A50" s="112">
        <v>4</v>
      </c>
      <c r="B50" s="113" t="s">
        <v>296</v>
      </c>
      <c r="C50" s="113" t="s">
        <v>262</v>
      </c>
      <c r="D50" s="113" t="s">
        <v>297</v>
      </c>
      <c r="E50" s="113" t="s">
        <v>298</v>
      </c>
      <c r="F50" s="113" t="s">
        <v>139</v>
      </c>
      <c r="G50" s="113" t="s">
        <v>299</v>
      </c>
      <c r="H50" s="112">
        <v>50</v>
      </c>
      <c r="I50" s="112" t="s">
        <v>107</v>
      </c>
      <c r="J50" s="114">
        <v>0</v>
      </c>
      <c r="K50" s="118" t="s">
        <v>12</v>
      </c>
      <c r="L50" s="118" t="s">
        <v>13</v>
      </c>
      <c r="M50" s="119" t="s">
        <v>300</v>
      </c>
      <c r="N50" s="112" t="s">
        <v>301</v>
      </c>
      <c r="O50" s="113"/>
    </row>
    <row r="51" spans="1:15" ht="15" customHeight="1" x14ac:dyDescent="0.3">
      <c r="A51" s="107">
        <v>3</v>
      </c>
      <c r="B51" s="108" t="s">
        <v>302</v>
      </c>
      <c r="C51" s="108" t="s">
        <v>303</v>
      </c>
      <c r="D51" s="108" t="s">
        <v>129</v>
      </c>
      <c r="E51" s="108" t="s">
        <v>130</v>
      </c>
      <c r="F51" s="108" t="s">
        <v>131</v>
      </c>
      <c r="G51" s="108" t="s">
        <v>62</v>
      </c>
      <c r="H51" s="107">
        <v>25</v>
      </c>
      <c r="I51" s="107" t="s">
        <v>107</v>
      </c>
      <c r="J51" s="109">
        <v>825000</v>
      </c>
      <c r="K51" s="118" t="s">
        <v>12</v>
      </c>
      <c r="L51" s="118" t="s">
        <v>13</v>
      </c>
      <c r="M51" s="117" t="s">
        <v>132</v>
      </c>
      <c r="N51" s="107" t="s">
        <v>304</v>
      </c>
      <c r="O51" s="108"/>
    </row>
    <row r="52" spans="1:15" ht="15" customHeight="1" x14ac:dyDescent="0.3">
      <c r="A52" s="112">
        <v>2</v>
      </c>
      <c r="B52" s="113" t="s">
        <v>305</v>
      </c>
      <c r="C52" s="113" t="s">
        <v>306</v>
      </c>
      <c r="D52" s="113" t="s">
        <v>307</v>
      </c>
      <c r="E52" s="113"/>
      <c r="F52" s="113"/>
      <c r="G52" s="113" t="s">
        <v>308</v>
      </c>
      <c r="H52" s="112">
        <v>0</v>
      </c>
      <c r="I52" s="112" t="s">
        <v>107</v>
      </c>
      <c r="J52" s="114">
        <v>0</v>
      </c>
      <c r="K52" s="118" t="s">
        <v>12</v>
      </c>
      <c r="L52" s="118" t="s">
        <v>13</v>
      </c>
      <c r="M52" s="117" t="s">
        <v>132</v>
      </c>
      <c r="N52" s="112" t="s">
        <v>309</v>
      </c>
      <c r="O52" s="113"/>
    </row>
    <row r="53" spans="1:15" ht="15" customHeight="1" x14ac:dyDescent="0.3">
      <c r="A53" s="107">
        <v>1</v>
      </c>
      <c r="B53" s="108" t="s">
        <v>310</v>
      </c>
      <c r="C53" s="108" t="s">
        <v>311</v>
      </c>
      <c r="D53" s="108" t="s">
        <v>307</v>
      </c>
      <c r="E53" s="108"/>
      <c r="F53" s="108"/>
      <c r="G53" s="108" t="s">
        <v>308</v>
      </c>
      <c r="H53" s="107">
        <v>0</v>
      </c>
      <c r="I53" s="107" t="s">
        <v>107</v>
      </c>
      <c r="J53" s="109">
        <v>0</v>
      </c>
      <c r="K53" s="118" t="s">
        <v>12</v>
      </c>
      <c r="L53" s="118" t="s">
        <v>13</v>
      </c>
      <c r="M53" s="117" t="s">
        <v>132</v>
      </c>
      <c r="N53" s="107" t="s">
        <v>312</v>
      </c>
      <c r="O53" s="108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1D9E75"/>
  </sheetPr>
  <dimension ref="A1:M11"/>
  <sheetViews>
    <sheetView zoomScaleNormal="100" workbookViewId="0">
      <selection activeCell="D18" sqref="D18"/>
    </sheetView>
  </sheetViews>
  <sheetFormatPr baseColWidth="10" defaultColWidth="8.6640625" defaultRowHeight="14.4" x14ac:dyDescent="0.3"/>
  <cols>
    <col min="1" max="1" width="5" customWidth="1"/>
    <col min="2" max="2" width="20" customWidth="1"/>
    <col min="3" max="4" width="22" customWidth="1"/>
    <col min="5" max="5" width="16" customWidth="1"/>
    <col min="6" max="6" width="26" customWidth="1"/>
    <col min="7" max="7" width="24" customWidth="1"/>
    <col min="8" max="8" width="7" customWidth="1"/>
    <col min="9" max="9" width="11" customWidth="1"/>
    <col min="10" max="10" width="13" customWidth="1"/>
    <col min="11" max="11" width="9" customWidth="1"/>
    <col min="12" max="12" width="20" customWidth="1"/>
    <col min="13" max="13" width="26" customWidth="1"/>
  </cols>
  <sheetData>
    <row r="1" spans="1:13" ht="25.5" customHeight="1" x14ac:dyDescent="0.3">
      <c r="A1" s="141" t="s">
        <v>313</v>
      </c>
      <c r="B1" s="141"/>
      <c r="C1" s="141"/>
      <c r="D1" s="141"/>
      <c r="E1" s="141"/>
      <c r="F1" s="141"/>
      <c r="G1" s="141"/>
      <c r="H1" s="141"/>
      <c r="I1" s="141"/>
      <c r="J1" s="141"/>
    </row>
    <row r="2" spans="1:13" ht="18" customHeight="1" x14ac:dyDescent="0.3">
      <c r="A2" s="69" t="s">
        <v>87</v>
      </c>
      <c r="B2" s="69" t="s">
        <v>88</v>
      </c>
      <c r="C2" s="69" t="s">
        <v>89</v>
      </c>
      <c r="D2" s="69" t="s">
        <v>90</v>
      </c>
      <c r="E2" s="69" t="s">
        <v>91</v>
      </c>
      <c r="F2" s="69" t="s">
        <v>92</v>
      </c>
      <c r="G2" s="69" t="s">
        <v>93</v>
      </c>
      <c r="H2" s="69" t="s">
        <v>94</v>
      </c>
      <c r="I2" s="69" t="s">
        <v>95</v>
      </c>
      <c r="J2" s="69" t="s">
        <v>96</v>
      </c>
      <c r="K2" s="69" t="s">
        <v>97</v>
      </c>
      <c r="L2" s="69" t="s">
        <v>100</v>
      </c>
      <c r="M2" s="69" t="s">
        <v>101</v>
      </c>
    </row>
    <row r="3" spans="1:13" ht="15" customHeight="1" x14ac:dyDescent="0.3">
      <c r="A3" s="107">
        <v>9</v>
      </c>
      <c r="B3" s="108" t="s">
        <v>113</v>
      </c>
      <c r="C3" s="108" t="s">
        <v>114</v>
      </c>
      <c r="D3" s="108" t="s">
        <v>115</v>
      </c>
      <c r="E3" s="108" t="s">
        <v>116</v>
      </c>
      <c r="F3" s="108" t="s">
        <v>117</v>
      </c>
      <c r="G3" s="108" t="s">
        <v>59</v>
      </c>
      <c r="H3" s="120">
        <v>0</v>
      </c>
      <c r="I3" s="107" t="s">
        <v>107</v>
      </c>
      <c r="J3" s="109">
        <v>4110000</v>
      </c>
      <c r="K3" s="115" t="s">
        <v>9</v>
      </c>
      <c r="L3" s="107" t="s">
        <v>314</v>
      </c>
      <c r="M3" s="108" t="s">
        <v>120</v>
      </c>
    </row>
    <row r="4" spans="1:13" ht="15" customHeight="1" x14ac:dyDescent="0.3">
      <c r="A4" s="121">
        <v>8</v>
      </c>
      <c r="B4" s="122" t="s">
        <v>127</v>
      </c>
      <c r="C4" s="122" t="s">
        <v>128</v>
      </c>
      <c r="D4" s="122" t="s">
        <v>129</v>
      </c>
      <c r="E4" s="122" t="s">
        <v>130</v>
      </c>
      <c r="F4" s="122" t="s">
        <v>131</v>
      </c>
      <c r="G4" s="122" t="s">
        <v>59</v>
      </c>
      <c r="H4" s="121">
        <v>25</v>
      </c>
      <c r="I4" s="121" t="s">
        <v>107</v>
      </c>
      <c r="J4" s="123">
        <v>685000</v>
      </c>
      <c r="K4" s="115" t="s">
        <v>9</v>
      </c>
      <c r="L4" s="121" t="s">
        <v>315</v>
      </c>
      <c r="M4" s="122" t="s">
        <v>134</v>
      </c>
    </row>
    <row r="5" spans="1:13" ht="15" customHeight="1" x14ac:dyDescent="0.3">
      <c r="A5" s="107">
        <v>7</v>
      </c>
      <c r="B5" s="108" t="s">
        <v>121</v>
      </c>
      <c r="C5" s="108" t="s">
        <v>122</v>
      </c>
      <c r="D5" s="108" t="s">
        <v>123</v>
      </c>
      <c r="E5" s="108" t="s">
        <v>124</v>
      </c>
      <c r="F5" s="108" t="s">
        <v>125</v>
      </c>
      <c r="G5" s="108" t="s">
        <v>59</v>
      </c>
      <c r="H5" s="107">
        <v>15</v>
      </c>
      <c r="I5" s="107" t="s">
        <v>107</v>
      </c>
      <c r="J5" s="109">
        <v>343500</v>
      </c>
      <c r="K5" s="115" t="s">
        <v>9</v>
      </c>
      <c r="L5" s="107" t="s">
        <v>316</v>
      </c>
      <c r="M5" s="108" t="s">
        <v>120</v>
      </c>
    </row>
    <row r="6" spans="1:13" ht="15" customHeight="1" x14ac:dyDescent="0.3">
      <c r="A6" s="121">
        <v>6</v>
      </c>
      <c r="B6" s="122" t="s">
        <v>145</v>
      </c>
      <c r="C6" s="122" t="s">
        <v>146</v>
      </c>
      <c r="D6" s="122" t="s">
        <v>129</v>
      </c>
      <c r="E6" s="122" t="s">
        <v>130</v>
      </c>
      <c r="F6" s="122" t="s">
        <v>131</v>
      </c>
      <c r="G6" s="122" t="s">
        <v>59</v>
      </c>
      <c r="H6" s="121">
        <v>25</v>
      </c>
      <c r="I6" s="121" t="s">
        <v>107</v>
      </c>
      <c r="J6" s="123">
        <v>685000</v>
      </c>
      <c r="K6" s="115" t="s">
        <v>9</v>
      </c>
      <c r="L6" s="121" t="s">
        <v>317</v>
      </c>
      <c r="M6" s="122" t="s">
        <v>134</v>
      </c>
    </row>
    <row r="7" spans="1:13" ht="15" customHeight="1" x14ac:dyDescent="0.3">
      <c r="A7" s="107">
        <v>5</v>
      </c>
      <c r="B7" s="108" t="s">
        <v>135</v>
      </c>
      <c r="C7" s="108" t="s">
        <v>136</v>
      </c>
      <c r="D7" s="108" t="s">
        <v>137</v>
      </c>
      <c r="E7" s="108" t="s">
        <v>138</v>
      </c>
      <c r="F7" s="108" t="s">
        <v>139</v>
      </c>
      <c r="G7" s="108" t="s">
        <v>59</v>
      </c>
      <c r="H7" s="107">
        <v>221</v>
      </c>
      <c r="I7" s="107" t="s">
        <v>107</v>
      </c>
      <c r="J7" s="109">
        <v>5060900</v>
      </c>
      <c r="K7" s="115" t="s">
        <v>9</v>
      </c>
      <c r="L7" s="107" t="s">
        <v>318</v>
      </c>
      <c r="M7" s="108" t="s">
        <v>141</v>
      </c>
    </row>
    <row r="8" spans="1:13" ht="15" customHeight="1" x14ac:dyDescent="0.3">
      <c r="A8" s="121">
        <v>4</v>
      </c>
      <c r="B8" s="122" t="s">
        <v>148</v>
      </c>
      <c r="C8" s="122" t="s">
        <v>149</v>
      </c>
      <c r="D8" s="122" t="s">
        <v>123</v>
      </c>
      <c r="E8" s="122" t="s">
        <v>150</v>
      </c>
      <c r="F8" s="122" t="s">
        <v>151</v>
      </c>
      <c r="G8" s="122" t="s">
        <v>63</v>
      </c>
      <c r="H8" s="121">
        <v>500</v>
      </c>
      <c r="I8" s="121" t="s">
        <v>107</v>
      </c>
      <c r="J8" s="123">
        <v>16000000</v>
      </c>
      <c r="K8" s="115" t="s">
        <v>9</v>
      </c>
      <c r="L8" s="121" t="s">
        <v>319</v>
      </c>
      <c r="M8" s="122" t="s">
        <v>120</v>
      </c>
    </row>
    <row r="9" spans="1:13" ht="15" customHeight="1" x14ac:dyDescent="0.3">
      <c r="A9" s="107">
        <v>3</v>
      </c>
      <c r="B9" s="108" t="s">
        <v>153</v>
      </c>
      <c r="C9" s="108" t="s">
        <v>154</v>
      </c>
      <c r="D9" s="108" t="s">
        <v>155</v>
      </c>
      <c r="E9" s="108" t="s">
        <v>150</v>
      </c>
      <c r="F9" s="108" t="s">
        <v>156</v>
      </c>
      <c r="G9" s="108" t="s">
        <v>63</v>
      </c>
      <c r="H9" s="107">
        <v>4</v>
      </c>
      <c r="I9" s="107" t="s">
        <v>107</v>
      </c>
      <c r="J9" s="109">
        <v>128000</v>
      </c>
      <c r="K9" s="115" t="s">
        <v>9</v>
      </c>
      <c r="L9" s="107" t="s">
        <v>320</v>
      </c>
      <c r="M9" s="108" t="s">
        <v>120</v>
      </c>
    </row>
    <row r="10" spans="1:13" ht="27.75" customHeight="1" x14ac:dyDescent="0.3">
      <c r="A10" s="139" t="s">
        <v>321</v>
      </c>
      <c r="B10" s="139"/>
      <c r="C10" s="139"/>
      <c r="D10" s="139"/>
      <c r="E10" s="139"/>
      <c r="F10" s="139"/>
      <c r="G10" s="139"/>
      <c r="H10" s="139"/>
      <c r="I10" s="139"/>
      <c r="J10" s="139"/>
      <c r="K10" s="139"/>
      <c r="L10" s="139"/>
      <c r="M10" s="139"/>
    </row>
    <row r="11" spans="1:13" ht="19.5" customHeight="1" x14ac:dyDescent="0.3">
      <c r="A11" s="124"/>
      <c r="B11" s="124"/>
      <c r="C11" s="124"/>
      <c r="D11" s="90" t="s">
        <v>322</v>
      </c>
      <c r="E11" s="124"/>
      <c r="F11" s="124"/>
      <c r="G11" s="124"/>
      <c r="H11" s="124"/>
      <c r="I11" s="124"/>
      <c r="J11" s="92">
        <v>27012400</v>
      </c>
      <c r="K11" s="124"/>
      <c r="L11" s="124"/>
      <c r="M11" s="124"/>
    </row>
  </sheetData>
  <mergeCells count="2">
    <mergeCell ref="A10:M10"/>
    <mergeCell ref="A1:J1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7030A0"/>
  </sheetPr>
  <dimension ref="A1:F11"/>
  <sheetViews>
    <sheetView topLeftCell="A8" zoomScaleNormal="100" workbookViewId="0">
      <selection activeCell="B11" sqref="B11"/>
    </sheetView>
  </sheetViews>
  <sheetFormatPr baseColWidth="10" defaultColWidth="8.6640625" defaultRowHeight="14.4" x14ac:dyDescent="0.3"/>
  <cols>
    <col min="1" max="1" width="5" customWidth="1"/>
    <col min="2" max="2" width="26" customWidth="1"/>
    <col min="3" max="3" width="13" customWidth="1"/>
    <col min="4" max="4" width="22" customWidth="1"/>
    <col min="5" max="5" width="50" customWidth="1"/>
    <col min="6" max="6" width="60" customWidth="1"/>
  </cols>
  <sheetData>
    <row r="1" spans="1:6" ht="25.5" customHeight="1" x14ac:dyDescent="0.3">
      <c r="A1" s="140" t="s">
        <v>323</v>
      </c>
      <c r="B1" s="140"/>
      <c r="C1" s="140"/>
      <c r="D1" s="140"/>
      <c r="E1" s="140"/>
    </row>
    <row r="2" spans="1:6" ht="18" customHeight="1" x14ac:dyDescent="0.3">
      <c r="A2" s="125" t="s">
        <v>87</v>
      </c>
      <c r="B2" s="125" t="s">
        <v>89</v>
      </c>
      <c r="C2" s="125" t="s">
        <v>324</v>
      </c>
      <c r="D2" s="125" t="s">
        <v>325</v>
      </c>
      <c r="E2" s="125" t="s">
        <v>326</v>
      </c>
      <c r="F2" s="125" t="s">
        <v>327</v>
      </c>
    </row>
    <row r="3" spans="1:6" ht="68.400000000000006" x14ac:dyDescent="0.3">
      <c r="A3" s="107">
        <v>5</v>
      </c>
      <c r="B3" s="107" t="s">
        <v>328</v>
      </c>
      <c r="C3" s="107">
        <v>2</v>
      </c>
      <c r="D3" s="126" t="s">
        <v>329</v>
      </c>
      <c r="E3" s="126" t="s">
        <v>330</v>
      </c>
      <c r="F3" s="126" t="s">
        <v>370</v>
      </c>
    </row>
    <row r="4" spans="1:6" ht="68.400000000000006" x14ac:dyDescent="0.3">
      <c r="A4" s="127">
        <v>6</v>
      </c>
      <c r="B4" s="127" t="s">
        <v>331</v>
      </c>
      <c r="C4" s="127">
        <v>2</v>
      </c>
      <c r="D4" s="128" t="s">
        <v>332</v>
      </c>
      <c r="E4" s="128" t="s">
        <v>330</v>
      </c>
      <c r="F4" s="128" t="s">
        <v>371</v>
      </c>
    </row>
    <row r="5" spans="1:6" x14ac:dyDescent="0.3">
      <c r="A5" s="107">
        <v>8</v>
      </c>
      <c r="B5" s="107" t="s">
        <v>333</v>
      </c>
      <c r="C5" s="107">
        <v>1</v>
      </c>
      <c r="D5" s="126" t="s">
        <v>334</v>
      </c>
      <c r="E5" s="126" t="s">
        <v>330</v>
      </c>
      <c r="F5" s="126"/>
    </row>
    <row r="6" spans="1:6" ht="68.400000000000006" x14ac:dyDescent="0.3">
      <c r="A6" s="127">
        <v>9</v>
      </c>
      <c r="B6" s="127" t="s">
        <v>335</v>
      </c>
      <c r="C6" s="127">
        <v>2</v>
      </c>
      <c r="D6" s="128" t="s">
        <v>336</v>
      </c>
      <c r="E6" s="128" t="s">
        <v>330</v>
      </c>
      <c r="F6" s="128" t="s">
        <v>371</v>
      </c>
    </row>
    <row r="7" spans="1:6" ht="68.400000000000006" x14ac:dyDescent="0.3">
      <c r="A7" s="107">
        <v>15</v>
      </c>
      <c r="B7" s="107" t="s">
        <v>337</v>
      </c>
      <c r="C7" s="107">
        <v>2</v>
      </c>
      <c r="D7" s="126" t="s">
        <v>338</v>
      </c>
      <c r="E7" s="126" t="s">
        <v>330</v>
      </c>
      <c r="F7" s="126" t="s">
        <v>372</v>
      </c>
    </row>
    <row r="8" spans="1:6" ht="68.400000000000006" x14ac:dyDescent="0.3">
      <c r="A8" s="127">
        <v>16</v>
      </c>
      <c r="B8" s="127" t="s">
        <v>339</v>
      </c>
      <c r="C8" s="127">
        <v>2</v>
      </c>
      <c r="D8" s="128" t="s">
        <v>340</v>
      </c>
      <c r="E8" s="128" t="s">
        <v>330</v>
      </c>
      <c r="F8" s="128" t="s">
        <v>373</v>
      </c>
    </row>
    <row r="9" spans="1:6" ht="40.200000000000003" customHeight="1" x14ac:dyDescent="0.3">
      <c r="A9" s="107">
        <v>27</v>
      </c>
      <c r="B9" s="107" t="s">
        <v>341</v>
      </c>
      <c r="C9" s="107">
        <v>2</v>
      </c>
      <c r="D9" s="126" t="s">
        <v>342</v>
      </c>
      <c r="E9" s="126" t="s">
        <v>343</v>
      </c>
      <c r="F9" s="126" t="s">
        <v>374</v>
      </c>
    </row>
    <row r="10" spans="1:6" ht="123" customHeight="1" x14ac:dyDescent="0.3">
      <c r="A10" s="127">
        <v>28</v>
      </c>
      <c r="B10" s="127" t="s">
        <v>344</v>
      </c>
      <c r="C10" s="127">
        <v>2</v>
      </c>
      <c r="D10" s="128" t="s">
        <v>345</v>
      </c>
      <c r="E10" s="128" t="s">
        <v>346</v>
      </c>
      <c r="F10" s="128" t="s">
        <v>375</v>
      </c>
    </row>
    <row r="11" spans="1:6" ht="44.4" customHeight="1" x14ac:dyDescent="0.3">
      <c r="A11" s="107">
        <v>29</v>
      </c>
      <c r="B11" s="107" t="s">
        <v>347</v>
      </c>
      <c r="C11" s="107">
        <v>2</v>
      </c>
      <c r="D11" s="126" t="s">
        <v>348</v>
      </c>
      <c r="E11" s="126" t="s">
        <v>349</v>
      </c>
      <c r="F11" s="126" t="s">
        <v>376</v>
      </c>
    </row>
  </sheetData>
  <mergeCells count="1">
    <mergeCell ref="A1:E1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2E75B6"/>
  </sheetPr>
  <dimension ref="A1:S36"/>
  <sheetViews>
    <sheetView showGridLines="0" tabSelected="1" topLeftCell="A20" zoomScaleNormal="100" workbookViewId="0">
      <selection activeCell="T10" sqref="T10"/>
    </sheetView>
  </sheetViews>
  <sheetFormatPr baseColWidth="10" defaultColWidth="8.6640625" defaultRowHeight="14.4" x14ac:dyDescent="0.3"/>
  <cols>
    <col min="2" max="2" width="9.77734375" bestFit="1" customWidth="1"/>
    <col min="3" max="3" width="10" bestFit="1" customWidth="1"/>
  </cols>
  <sheetData>
    <row r="1" spans="1:19" ht="27.75" customHeight="1" x14ac:dyDescent="0.3">
      <c r="A1" s="142" t="s">
        <v>350</v>
      </c>
      <c r="B1" s="142"/>
      <c r="C1" s="142"/>
      <c r="D1" s="142"/>
      <c r="E1" s="142"/>
      <c r="F1" s="142"/>
      <c r="G1" s="142"/>
      <c r="H1" s="142"/>
      <c r="I1" s="142"/>
      <c r="J1" s="142"/>
      <c r="K1" s="142"/>
      <c r="L1" s="142"/>
      <c r="M1" s="142"/>
      <c r="N1" s="142"/>
      <c r="O1" s="142"/>
      <c r="P1" s="142"/>
      <c r="Q1" s="142"/>
      <c r="R1" s="142"/>
      <c r="S1" s="142"/>
    </row>
    <row r="3" spans="1:19" x14ac:dyDescent="0.3">
      <c r="A3" s="129" t="s">
        <v>3</v>
      </c>
      <c r="B3" s="129" t="s">
        <v>44</v>
      </c>
      <c r="C3" s="129" t="s">
        <v>351</v>
      </c>
      <c r="J3" s="130" t="s">
        <v>352</v>
      </c>
      <c r="K3" s="130" t="s">
        <v>44</v>
      </c>
    </row>
    <row r="4" spans="1:19" x14ac:dyDescent="0.3">
      <c r="A4" t="s">
        <v>6</v>
      </c>
      <c r="B4">
        <v>4</v>
      </c>
      <c r="C4">
        <v>25514400</v>
      </c>
      <c r="J4" t="s">
        <v>353</v>
      </c>
      <c r="K4">
        <v>24</v>
      </c>
    </row>
    <row r="5" spans="1:19" x14ac:dyDescent="0.3">
      <c r="A5" t="s">
        <v>10</v>
      </c>
      <c r="B5">
        <v>4</v>
      </c>
      <c r="C5">
        <v>72910400</v>
      </c>
      <c r="J5" t="s">
        <v>354</v>
      </c>
      <c r="K5">
        <v>4</v>
      </c>
    </row>
    <row r="6" spans="1:19" x14ac:dyDescent="0.3">
      <c r="A6" t="s">
        <v>13</v>
      </c>
      <c r="B6">
        <v>20</v>
      </c>
      <c r="C6">
        <v>158087900</v>
      </c>
      <c r="J6" t="s">
        <v>355</v>
      </c>
      <c r="K6">
        <v>1</v>
      </c>
    </row>
    <row r="7" spans="1:19" x14ac:dyDescent="0.3">
      <c r="J7" t="s">
        <v>356</v>
      </c>
      <c r="K7">
        <v>22</v>
      </c>
    </row>
    <row r="15" spans="1:19" x14ac:dyDescent="0.3">
      <c r="A15" s="131" t="s">
        <v>52</v>
      </c>
      <c r="B15" s="131" t="s">
        <v>53</v>
      </c>
      <c r="C15" s="131" t="s">
        <v>357</v>
      </c>
    </row>
    <row r="16" spans="1:19" x14ac:dyDescent="0.3">
      <c r="A16" t="s">
        <v>59</v>
      </c>
      <c r="B16">
        <v>14</v>
      </c>
      <c r="C16">
        <v>104423700</v>
      </c>
    </row>
    <row r="17" spans="1:3" x14ac:dyDescent="0.3">
      <c r="A17" t="s">
        <v>299</v>
      </c>
      <c r="B17">
        <v>2</v>
      </c>
      <c r="C17">
        <v>57785000</v>
      </c>
    </row>
    <row r="18" spans="1:3" x14ac:dyDescent="0.3">
      <c r="A18" t="s">
        <v>61</v>
      </c>
      <c r="B18">
        <v>3</v>
      </c>
      <c r="C18">
        <v>39064000</v>
      </c>
    </row>
    <row r="19" spans="1:3" x14ac:dyDescent="0.3">
      <c r="A19" t="s">
        <v>62</v>
      </c>
      <c r="B19">
        <v>4</v>
      </c>
      <c r="C19">
        <v>18582000</v>
      </c>
    </row>
    <row r="20" spans="1:3" x14ac:dyDescent="0.3">
      <c r="A20" t="s">
        <v>299</v>
      </c>
      <c r="B20">
        <v>2</v>
      </c>
      <c r="C20">
        <v>16128000</v>
      </c>
    </row>
    <row r="21" spans="1:3" x14ac:dyDescent="0.3">
      <c r="A21" t="s">
        <v>64</v>
      </c>
      <c r="B21">
        <v>1</v>
      </c>
      <c r="C21">
        <v>15330000</v>
      </c>
    </row>
    <row r="22" spans="1:3" x14ac:dyDescent="0.3">
      <c r="A22" t="s">
        <v>65</v>
      </c>
      <c r="B22">
        <v>2</v>
      </c>
      <c r="C22">
        <v>5200000</v>
      </c>
    </row>
    <row r="26" spans="1:3" x14ac:dyDescent="0.3">
      <c r="A26" s="132" t="s">
        <v>67</v>
      </c>
      <c r="B26" s="132" t="s">
        <v>68</v>
      </c>
      <c r="C26" s="132" t="s">
        <v>357</v>
      </c>
    </row>
    <row r="27" spans="1:3" x14ac:dyDescent="0.3">
      <c r="A27" t="s">
        <v>358</v>
      </c>
      <c r="B27">
        <v>4</v>
      </c>
      <c r="C27">
        <v>6406000</v>
      </c>
    </row>
    <row r="28" spans="1:3" x14ac:dyDescent="0.3">
      <c r="A28" t="s">
        <v>359</v>
      </c>
      <c r="B28">
        <v>2</v>
      </c>
      <c r="C28">
        <v>43845000</v>
      </c>
    </row>
    <row r="29" spans="1:3" x14ac:dyDescent="0.3">
      <c r="A29" t="s">
        <v>360</v>
      </c>
      <c r="B29">
        <v>9</v>
      </c>
      <c r="C29">
        <v>53347000</v>
      </c>
    </row>
    <row r="30" spans="1:3" x14ac:dyDescent="0.3">
      <c r="A30" t="s">
        <v>361</v>
      </c>
      <c r="B30">
        <v>1</v>
      </c>
      <c r="C30">
        <v>2541900</v>
      </c>
    </row>
    <row r="31" spans="1:3" x14ac:dyDescent="0.3">
      <c r="A31" t="s">
        <v>362</v>
      </c>
      <c r="B31">
        <v>3</v>
      </c>
      <c r="C31">
        <v>51820000</v>
      </c>
    </row>
    <row r="32" spans="1:3" x14ac:dyDescent="0.3">
      <c r="A32" t="s">
        <v>363</v>
      </c>
      <c r="B32">
        <v>1</v>
      </c>
      <c r="C32">
        <v>61830000</v>
      </c>
    </row>
    <row r="33" spans="1:3" x14ac:dyDescent="0.3">
      <c r="A33" t="s">
        <v>364</v>
      </c>
      <c r="B33">
        <v>4</v>
      </c>
      <c r="C33">
        <v>30348900</v>
      </c>
    </row>
    <row r="34" spans="1:3" x14ac:dyDescent="0.3">
      <c r="A34" t="s">
        <v>365</v>
      </c>
      <c r="B34">
        <v>1</v>
      </c>
      <c r="C34">
        <v>343500</v>
      </c>
    </row>
    <row r="35" spans="1:3" x14ac:dyDescent="0.3">
      <c r="A35" t="s">
        <v>366</v>
      </c>
      <c r="B35">
        <v>1</v>
      </c>
      <c r="C35">
        <v>4110000</v>
      </c>
    </row>
    <row r="36" spans="1:3" x14ac:dyDescent="0.3">
      <c r="A36" t="s">
        <v>367</v>
      </c>
      <c r="B36">
        <v>2</v>
      </c>
      <c r="C36">
        <v>1920400</v>
      </c>
    </row>
  </sheetData>
  <mergeCells count="1">
    <mergeCell ref="A1:S1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📊 Dashboard</vt:lpstr>
      <vt:lpstr>🗄️ Cotizaciones BD</vt:lpstr>
      <vt:lpstr>✅ Ventas Confirmadas</vt:lpstr>
      <vt:lpstr>💬 Historial Sesiones</vt:lpstr>
      <vt:lpstr>📈 Gráficos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CRISTOFER EDWARD SAN MARTIN CASTRO</cp:lastModifiedBy>
  <cp:revision>1</cp:revision>
  <dcterms:created xsi:type="dcterms:W3CDTF">2026-05-30T01:22:46Z</dcterms:created>
  <dcterms:modified xsi:type="dcterms:W3CDTF">2026-05-30T01:52:40Z</dcterms:modified>
  <dc:language>en-US</dc:language>
</cp:coreProperties>
</file>