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risa\OneDrive\Escritorio\Duoc UC\SEMESTRE_5\Portafolio\"/>
    </mc:Choice>
  </mc:AlternateContent>
  <xr:revisionPtr revIDLastSave="0" documentId="13_ncr:1_{EB099694-D2F7-454A-90F9-036C17C39E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gistro de Riesgos" sheetId="1" r:id="rId1"/>
    <sheet name="Matriz Visual" sheetId="2" r:id="rId2"/>
    <sheet name="Resumen Ejecu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3" l="1"/>
  <c r="C7" i="3"/>
  <c r="C6" i="3"/>
  <c r="C5" i="3"/>
  <c r="C4" i="3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<sst xmlns="http://schemas.openxmlformats.org/spreadsheetml/2006/main" count="145" uniqueCount="117">
  <si>
    <t>MATRIZ DE RIESGO — TRATO HECHO · Césped Sintético SpA · DuocUC 2026</t>
  </si>
  <si>
    <t>Proyecto: Chat Agent de Cotizaciones con IA (n8n + Claude + MercadoPago + Redis)</t>
  </si>
  <si>
    <t>ID</t>
  </si>
  <si>
    <t>Nombre del Riesgo</t>
  </si>
  <si>
    <t>Categoría</t>
  </si>
  <si>
    <t>Probabilidad
(1-5)</t>
  </si>
  <si>
    <t>Impacto
(1-5)</t>
  </si>
  <si>
    <t>Score
(P×I)</t>
  </si>
  <si>
    <t>Nivel</t>
  </si>
  <si>
    <t>Causa</t>
  </si>
  <si>
    <t>Efecto / Consecuencia</t>
  </si>
  <si>
    <t>Plan de Mitigación</t>
  </si>
  <si>
    <t>Responsable</t>
  </si>
  <si>
    <t>Estado</t>
  </si>
  <si>
    <t>API Key expuesta en repo público</t>
  </si>
  <si>
    <t>Crítico</t>
  </si>
  <si>
    <t>Gonzalo Carvajal</t>
  </si>
  <si>
    <t>Activo</t>
  </si>
  <si>
    <t>Falla de n8n — sistema inoperativo total</t>
  </si>
  <si>
    <t>Infraestructura</t>
  </si>
  <si>
    <t>n8n es punto único de falla; si el contenedor cae, no hay cotizaciones</t>
  </si>
  <si>
    <t>Servicio completamente caído, clientes sin respuesta</t>
  </si>
  <si>
    <t>Health-check en docker-compose; alertas por email al caer el contenedor; documentar restart manual</t>
  </si>
  <si>
    <t>Redis sin persistencia — pérdida de cotizaciones</t>
  </si>
  <si>
    <t>Alto</t>
  </si>
  <si>
    <t>Costos inesperados Claude API</t>
  </si>
  <si>
    <t>Económico</t>
  </si>
  <si>
    <t>Sin límite de tokens ni rate limiting; usuario podría generar miles de llamadas</t>
  </si>
  <si>
    <t>Factura Anthropic elevada inesperada</t>
  </si>
  <si>
    <t>Rate limit por UUID en n8n; definir max_tokens estricto; monitorear uso en console.anthropic.com</t>
  </si>
  <si>
    <t>MercadoPago webhook silencioso</t>
  </si>
  <si>
    <t>Técnico</t>
  </si>
  <si>
    <t>Medio</t>
  </si>
  <si>
    <t>Pérdida de contexto de conversación</t>
  </si>
  <si>
    <t>UX</t>
  </si>
  <si>
    <t>Si localStorage se borra antes del TTL Redis, el contexto se pierde</t>
  </si>
  <si>
    <t>Cliente retoma conversación desde cero, experiencia frustrante</t>
  </si>
  <si>
    <t>Mostrar aviso de vigencia del historial; permitir re-inicio limpio</t>
  </si>
  <si>
    <t>Precios del catálogo desactualizados</t>
  </si>
  <si>
    <t>Negocio</t>
  </si>
  <si>
    <t>El catálogo está hardcodeado en el system prompt de Claude</t>
  </si>
  <si>
    <t>Agente cotiza con precios incorrectos, pérdida económica</t>
  </si>
  <si>
    <t>Externalizar catálogo a JSON/DB consultable; interfaz simple para actualizar precios</t>
  </si>
  <si>
    <t>Negocio / Gonzalo</t>
  </si>
  <si>
    <t>Bajo</t>
  </si>
  <si>
    <t>Sin validación de m2 ingresado</t>
  </si>
  <si>
    <t>El agente acepta cualquier valor de metros cuadrados</t>
  </si>
  <si>
    <t>Cotizaciones con valores absurdos (0 m2, 99999 m2)</t>
  </si>
  <si>
    <t>Validación de rango en el parsing del agente; respuesta de error amigable</t>
  </si>
  <si>
    <t>Ausencia de logs de auditoría</t>
  </si>
  <si>
    <t>Operacional</t>
  </si>
  <si>
    <t>El workflow n8n no guarda registro persistente de conversaciones</t>
  </si>
  <si>
    <t>Imposible diagnosticar problemas o disputas de cotizaciones</t>
  </si>
  <si>
    <t>Nodo de logging en n8n hacia archivo o base de datos simple</t>
  </si>
  <si>
    <t>MAPA DE CALOR — PROBABILIDAD × IMPACTO</t>
  </si>
  <si>
    <t>Probabilidad ↓ / Impacto →</t>
  </si>
  <si>
    <t>Muy bajo (1)</t>
  </si>
  <si>
    <t>Bajo (2)</t>
  </si>
  <si>
    <t>Moderado (3)</t>
  </si>
  <si>
    <t>Alto (4)</t>
  </si>
  <si>
    <t>Crítico (5)</t>
  </si>
  <si>
    <t>Muy alta (5)</t>
  </si>
  <si>
    <t>Score: 5</t>
  </si>
  <si>
    <t>Score: 10</t>
  </si>
  <si>
    <t>Score: 15</t>
  </si>
  <si>
    <t>Score: 20</t>
  </si>
  <si>
    <t>Score: 25</t>
  </si>
  <si>
    <t>Alta (4)</t>
  </si>
  <si>
    <t>Score: 4</t>
  </si>
  <si>
    <t>Score: 8
R15
Ausencia de logs de auditorí…</t>
  </si>
  <si>
    <t>Score: 12
R10
Precios del catálogo desactu…</t>
  </si>
  <si>
    <t>Score: 16
R3
Redis sin persistencia — pér…</t>
  </si>
  <si>
    <t>Score: 20
R1
API Key expuesta en repo púb…</t>
  </si>
  <si>
    <t>Media (3)</t>
  </si>
  <si>
    <t>Score: 3</t>
  </si>
  <si>
    <t>Score: 6
R14
Sin validación de m2 ingresa…</t>
  </si>
  <si>
    <t>Score: 9
R8, R9
CORS mal configurado en webh…
Pérdida de contexto de conve…</t>
  </si>
  <si>
    <t>Score: 12
R4, R5
Costos inesperados Claude AP…
MercadoPago webhook silencio…</t>
  </si>
  <si>
    <t>Score: 15
R2
Falla de n8n — sistema inope…</t>
  </si>
  <si>
    <t>Baja (2)</t>
  </si>
  <si>
    <t>Score: 2</t>
  </si>
  <si>
    <t>Score: 4
R13
Latencia alta de Claude API</t>
  </si>
  <si>
    <t>Score: 6
R11, R12
Despliegue en producción sin…
MercadoPago en modo prueba e…</t>
  </si>
  <si>
    <t>Score: 8
R6, R7
UUID de cliente predecible o…
Prompt injection en el chat</t>
  </si>
  <si>
    <t>Muy baja (1)</t>
  </si>
  <si>
    <t>Score: 1</t>
  </si>
  <si>
    <t>LEYENDA</t>
  </si>
  <si>
    <t>Bajo (1-3)</t>
  </si>
  <si>
    <t>Medio (4-8)</t>
  </si>
  <si>
    <t>Alto (9-15)</t>
  </si>
  <si>
    <t>Crítico (16-25)</t>
  </si>
  <si>
    <t>RESUMEN EJECUTIVO — GESTIÓN DE RIESGOS</t>
  </si>
  <si>
    <t>Cantidad</t>
  </si>
  <si>
    <t>% del Total</t>
  </si>
  <si>
    <t>Score promedio</t>
  </si>
  <si>
    <t>Categorías involucradas</t>
  </si>
  <si>
    <t>Seguridad, Infraestructura</t>
  </si>
  <si>
    <t>Pagos, Seguridad, Datos, Económico</t>
  </si>
  <si>
    <t>Seguridad, Negocio, Pagos, Técnico, UX</t>
  </si>
  <si>
    <t>Performance, Operacional, Técnico</t>
  </si>
  <si>
    <t>TOTAL</t>
  </si>
  <si>
    <t>TOP 5 RIESGOS PRIORITARIOS</t>
  </si>
  <si>
    <t>Nombre</t>
  </si>
  <si>
    <t>Score</t>
  </si>
  <si>
    <t>Acción inmediata</t>
  </si>
  <si>
    <t>R1</t>
  </si>
  <si>
    <t>Verificar .gitignore cubre .env; usar GitHub Secret Scanning; rotar claves perió</t>
  </si>
  <si>
    <t>R3</t>
  </si>
  <si>
    <t>Habilitar persistencia RDB o AOF en docker-compose; volumes persistentes en Dock</t>
  </si>
  <si>
    <t>R2</t>
  </si>
  <si>
    <t>Health-check en docker-compose; alertas por email al caer el contenedor; documen</t>
  </si>
  <si>
    <t>R4</t>
  </si>
  <si>
    <t>Rate limit por UUID en n8n; definir max_tokens estricto; monitorear uso en conso</t>
  </si>
  <si>
    <t>R5</t>
  </si>
  <si>
    <t>Validar webhook con firma HMAC; registrar eventos en log; endpoint de reconcilia</t>
  </si>
  <si>
    <t>Cristofer San Martin</t>
  </si>
  <si>
    <t>Andres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</si>
</sst>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A32D2D"/>
      <name val="Arial"/>
      <charset val="1"/>
    </font>
    <font>
      <b/>
      <sz val="10"/>
      <color rgb="FF993C1D"/>
      <name val="Arial"/>
      <charset val="1"/>
    </font>
    <font>
      <b/>
      <sz val="10"/>
      <color rgb="FF854F0B"/>
      <name val="Arial"/>
      <charset val="1"/>
    </font>
    <font>
      <b/>
      <sz val="10"/>
      <color rgb="FF3B6D11"/>
      <name val="Arial"/>
      <charset val="1"/>
    </font>
    <font>
      <b/>
      <sz val="8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854F0B"/>
      <name val="Arial"/>
      <charset val="1"/>
    </font>
    <font>
      <sz val="8"/>
      <color rgb="FF993C1D"/>
      <name val="Arial"/>
      <charset val="1"/>
    </font>
    <font>
      <sz val="8"/>
      <color rgb="FFA32D2D"/>
      <name val="Arial"/>
      <charset val="1"/>
    </font>
    <font>
      <b/>
      <sz val="8"/>
      <color rgb="FF854F0B"/>
      <name val="Arial"/>
      <charset val="1"/>
    </font>
    <font>
      <b/>
      <sz val="8"/>
      <color rgb="FF993C1D"/>
      <name val="Arial"/>
      <charset val="1"/>
    </font>
    <font>
      <b/>
      <sz val="8"/>
      <color rgb="FFA32D2D"/>
      <name val="Arial"/>
      <charset val="1"/>
    </font>
    <font>
      <sz val="8"/>
      <color rgb="FF3B6D11"/>
      <name val="Arial"/>
      <charset val="1"/>
    </font>
    <font>
      <b/>
      <sz val="10"/>
      <color rgb="FF1F3864"/>
      <name val="Arial"/>
      <charset val="1"/>
    </font>
    <font>
      <b/>
      <sz val="9"/>
      <color rgb="FF3B6D11"/>
      <name val="Arial"/>
      <charset val="1"/>
    </font>
    <font>
      <b/>
      <sz val="9"/>
      <color rgb="FF854F0B"/>
      <name val="Arial"/>
      <charset val="1"/>
    </font>
    <font>
      <b/>
      <sz val="9"/>
      <color rgb="FF993C1D"/>
      <name val="Arial"/>
      <charset val="1"/>
    </font>
    <font>
      <b/>
      <sz val="9"/>
      <color rgb="FFA32D2D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b/>
      <sz val="10"/>
      <color rgb="FF993C1D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EBF0FA"/>
        <bgColor rgb="FFF7F7F7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7F7F7"/>
      </patternFill>
    </fill>
    <fill>
      <patternFill patternType="solid">
        <fgColor rgb="FFFCEBEB"/>
        <bgColor rgb="FFFAECE7"/>
      </patternFill>
    </fill>
    <fill>
      <patternFill patternType="solid">
        <fgColor rgb="FFF7F7F7"/>
        <bgColor rgb="FFFFFFFF"/>
      </patternFill>
    </fill>
    <fill>
      <patternFill patternType="solid">
        <fgColor rgb="FFFAECE7"/>
        <bgColor rgb="FFFCEBEB"/>
      </patternFill>
    </fill>
    <fill>
      <patternFill patternType="solid">
        <fgColor rgb="FFFAEEDA"/>
        <bgColor rgb="FFFAECE7"/>
      </patternFill>
    </fill>
    <fill>
      <patternFill patternType="solid">
        <fgColor rgb="FFEAF3DE"/>
        <bgColor rgb="FFEBF0FA"/>
      </patternFill>
    </fill>
    <fill>
      <patternFill patternType="solid">
        <fgColor rgb="FFD0D8F0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CEBEB"/>
      </patternFill>
    </fill>
    <fill>
      <patternFill patternType="solid">
        <fgColor theme="0"/>
        <bgColor rgb="FFF7F7F7"/>
      </patternFill>
    </fill>
    <fill>
      <patternFill patternType="solid">
        <fgColor theme="0"/>
        <bgColor rgb="FFFAECE7"/>
      </patternFill>
    </fill>
    <fill>
      <patternFill patternType="solid">
        <fgColor theme="0"/>
        <bgColor rgb="FFEBF0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16" borderId="0" xfId="0" applyFill="1"/>
    <xf numFmtId="0" fontId="5" fillId="14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08080"/>
      <rgbColor rgb="FFCCCCCC"/>
      <rgbColor rgb="FF808080"/>
      <rgbColor rgb="FF9999FF"/>
      <rgbColor rgb="FFA32D2D"/>
      <rgbColor rgb="FFFAEEDA"/>
      <rgbColor rgb="FFEBF0FA"/>
      <rgbColor rgb="FF660066"/>
      <rgbColor rgb="FFFF8080"/>
      <rgbColor rgb="FF0066CC"/>
      <rgbColor rgb="FFD0D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EAF3DE"/>
      <rgbColor rgb="FFFAECE7"/>
      <rgbColor rgb="FF99CCFF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C1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tabSelected="1" zoomScale="83" zoomScaleNormal="83" workbookViewId="0">
      <pane ySplit="4" topLeftCell="A5" activePane="bottomLeft" state="frozen"/>
      <selection pane="bottomLeft" activeCell="F12" sqref="F12"/>
    </sheetView>
  </sheetViews>
  <sheetFormatPr baseColWidth="10" defaultColWidth="8.6640625" defaultRowHeight="14.4" x14ac:dyDescent="0.3"/>
  <cols>
    <col min="1" max="1" width="5" customWidth="1"/>
    <col min="2" max="2" width="38" customWidth="1"/>
    <col min="3" max="3" width="14" customWidth="1"/>
    <col min="4" max="5" width="12" customWidth="1"/>
    <col min="6" max="7" width="10" customWidth="1"/>
    <col min="8" max="9" width="42" customWidth="1"/>
    <col min="10" max="10" width="52" customWidth="1"/>
    <col min="11" max="11" width="18" customWidth="1"/>
    <col min="12" max="12" width="10" customWidth="1"/>
  </cols>
  <sheetData>
    <row r="1" spans="1:12" ht="30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8" customHeight="1" x14ac:dyDescent="0.3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6" customHeight="1" x14ac:dyDescent="0.3"/>
    <row r="4" spans="1:12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s="34" customFormat="1" ht="51.75" customHeight="1" x14ac:dyDescent="0.3">
      <c r="A5" s="28">
        <v>1</v>
      </c>
      <c r="B5" s="29" t="s">
        <v>18</v>
      </c>
      <c r="C5" s="29" t="s">
        <v>19</v>
      </c>
      <c r="D5" s="28">
        <v>3</v>
      </c>
      <c r="E5" s="28">
        <v>5</v>
      </c>
      <c r="F5" s="28">
        <f t="shared" ref="F5:F10" si="0">D5*E5</f>
        <v>15</v>
      </c>
      <c r="G5" s="35" t="s">
        <v>15</v>
      </c>
      <c r="H5" s="29" t="s">
        <v>20</v>
      </c>
      <c r="I5" s="29" t="s">
        <v>21</v>
      </c>
      <c r="J5" s="29" t="s">
        <v>22</v>
      </c>
      <c r="K5" s="29" t="s">
        <v>16</v>
      </c>
      <c r="L5" s="29" t="s">
        <v>17</v>
      </c>
    </row>
    <row r="6" spans="1:12" s="34" customFormat="1" ht="51.75" customHeight="1" x14ac:dyDescent="0.3">
      <c r="A6" s="28">
        <v>2</v>
      </c>
      <c r="B6" s="29" t="s">
        <v>25</v>
      </c>
      <c r="C6" s="29" t="s">
        <v>26</v>
      </c>
      <c r="D6" s="28">
        <v>3</v>
      </c>
      <c r="E6" s="28">
        <v>4</v>
      </c>
      <c r="F6" s="28">
        <f t="shared" si="0"/>
        <v>12</v>
      </c>
      <c r="G6" s="36" t="s">
        <v>15</v>
      </c>
      <c r="H6" s="29" t="s">
        <v>27</v>
      </c>
      <c r="I6" s="29" t="s">
        <v>28</v>
      </c>
      <c r="J6" s="29" t="s">
        <v>29</v>
      </c>
      <c r="K6" s="29" t="s">
        <v>115</v>
      </c>
      <c r="L6" s="29" t="s">
        <v>17</v>
      </c>
    </row>
    <row r="7" spans="1:12" s="34" customFormat="1" ht="51.75" customHeight="1" x14ac:dyDescent="0.3">
      <c r="A7" s="28">
        <v>3</v>
      </c>
      <c r="B7" s="30" t="s">
        <v>33</v>
      </c>
      <c r="C7" s="30" t="s">
        <v>34</v>
      </c>
      <c r="D7" s="31">
        <v>3</v>
      </c>
      <c r="E7" s="31">
        <v>3</v>
      </c>
      <c r="F7" s="31">
        <f t="shared" si="0"/>
        <v>9</v>
      </c>
      <c r="G7" s="32" t="s">
        <v>32</v>
      </c>
      <c r="H7" s="30" t="s">
        <v>35</v>
      </c>
      <c r="I7" s="30" t="s">
        <v>36</v>
      </c>
      <c r="J7" s="30" t="s">
        <v>37</v>
      </c>
      <c r="K7" s="30" t="s">
        <v>116</v>
      </c>
      <c r="L7" s="30" t="s">
        <v>17</v>
      </c>
    </row>
    <row r="8" spans="1:12" s="34" customFormat="1" ht="51.75" customHeight="1" x14ac:dyDescent="0.3">
      <c r="A8" s="28">
        <v>4</v>
      </c>
      <c r="B8" s="29" t="s">
        <v>38</v>
      </c>
      <c r="C8" s="29" t="s">
        <v>39</v>
      </c>
      <c r="D8" s="28">
        <v>4</v>
      </c>
      <c r="E8" s="28">
        <v>3</v>
      </c>
      <c r="F8" s="28">
        <f t="shared" si="0"/>
        <v>12</v>
      </c>
      <c r="G8" s="32" t="s">
        <v>32</v>
      </c>
      <c r="H8" s="29" t="s">
        <v>40</v>
      </c>
      <c r="I8" s="29" t="s">
        <v>41</v>
      </c>
      <c r="J8" s="29" t="s">
        <v>42</v>
      </c>
      <c r="K8" s="29" t="s">
        <v>43</v>
      </c>
      <c r="L8" s="29" t="s">
        <v>17</v>
      </c>
    </row>
    <row r="9" spans="1:12" s="34" customFormat="1" ht="51.75" customHeight="1" x14ac:dyDescent="0.3">
      <c r="A9" s="28">
        <v>5</v>
      </c>
      <c r="B9" s="29" t="s">
        <v>45</v>
      </c>
      <c r="C9" s="29" t="s">
        <v>31</v>
      </c>
      <c r="D9" s="28">
        <v>3</v>
      </c>
      <c r="E9" s="28">
        <v>2</v>
      </c>
      <c r="F9" s="28">
        <f t="shared" si="0"/>
        <v>6</v>
      </c>
      <c r="G9" s="33" t="s">
        <v>44</v>
      </c>
      <c r="H9" s="29" t="s">
        <v>46</v>
      </c>
      <c r="I9" s="29" t="s">
        <v>47</v>
      </c>
      <c r="J9" s="29" t="s">
        <v>48</v>
      </c>
      <c r="K9" s="29" t="s">
        <v>116</v>
      </c>
      <c r="L9" s="29" t="s">
        <v>17</v>
      </c>
    </row>
    <row r="10" spans="1:12" s="34" customFormat="1" ht="51.75" customHeight="1" x14ac:dyDescent="0.3">
      <c r="A10" s="28">
        <v>6</v>
      </c>
      <c r="B10" s="30" t="s">
        <v>49</v>
      </c>
      <c r="C10" s="30" t="s">
        <v>50</v>
      </c>
      <c r="D10" s="31">
        <v>4</v>
      </c>
      <c r="E10" s="31">
        <v>2</v>
      </c>
      <c r="F10" s="31">
        <f t="shared" si="0"/>
        <v>8</v>
      </c>
      <c r="G10" s="33" t="s">
        <v>44</v>
      </c>
      <c r="H10" s="30" t="s">
        <v>51</v>
      </c>
      <c r="I10" s="30" t="s">
        <v>52</v>
      </c>
      <c r="J10" s="30" t="s">
        <v>53</v>
      </c>
      <c r="K10" s="30" t="s">
        <v>115</v>
      </c>
      <c r="L10" s="30" t="s">
        <v>17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zoomScaleNormal="100" workbookViewId="0"/>
  </sheetViews>
  <sheetFormatPr baseColWidth="10" defaultColWidth="8.6640625" defaultRowHeight="14.4" x14ac:dyDescent="0.3"/>
  <cols>
    <col min="1" max="6" width="18" customWidth="1"/>
  </cols>
  <sheetData>
    <row r="1" spans="1:7" ht="27.75" customHeight="1" x14ac:dyDescent="0.3">
      <c r="A1" s="37" t="s">
        <v>54</v>
      </c>
      <c r="B1" s="37"/>
      <c r="C1" s="37"/>
      <c r="D1" s="37"/>
      <c r="E1" s="37"/>
      <c r="F1" s="37"/>
      <c r="G1" s="37"/>
    </row>
    <row r="3" spans="1:7" ht="20.399999999999999" x14ac:dyDescent="0.3">
      <c r="A3" s="10" t="s">
        <v>55</v>
      </c>
      <c r="B3" s="11" t="s">
        <v>56</v>
      </c>
      <c r="C3" s="11" t="s">
        <v>57</v>
      </c>
      <c r="D3" s="11" t="s">
        <v>58</v>
      </c>
      <c r="E3" s="11" t="s">
        <v>59</v>
      </c>
      <c r="F3" s="11" t="s">
        <v>60</v>
      </c>
    </row>
    <row r="4" spans="1:7" ht="72" customHeight="1" x14ac:dyDescent="0.3">
      <c r="A4" s="11" t="s">
        <v>61</v>
      </c>
      <c r="B4" s="12" t="s">
        <v>62</v>
      </c>
      <c r="C4" s="13" t="s">
        <v>63</v>
      </c>
      <c r="D4" s="13" t="s">
        <v>64</v>
      </c>
      <c r="E4" s="14" t="s">
        <v>65</v>
      </c>
      <c r="F4" s="14" t="s">
        <v>66</v>
      </c>
    </row>
    <row r="5" spans="1:7" ht="72" customHeight="1" x14ac:dyDescent="0.3">
      <c r="A5" s="11" t="s">
        <v>67</v>
      </c>
      <c r="B5" s="12" t="s">
        <v>68</v>
      </c>
      <c r="C5" s="15" t="s">
        <v>69</v>
      </c>
      <c r="D5" s="16" t="s">
        <v>70</v>
      </c>
      <c r="E5" s="17" t="s">
        <v>71</v>
      </c>
      <c r="F5" s="17" t="s">
        <v>72</v>
      </c>
    </row>
    <row r="6" spans="1:7" ht="72" customHeight="1" x14ac:dyDescent="0.3">
      <c r="A6" s="11" t="s">
        <v>73</v>
      </c>
      <c r="B6" s="18" t="s">
        <v>74</v>
      </c>
      <c r="C6" s="15" t="s">
        <v>75</v>
      </c>
      <c r="D6" s="16" t="s">
        <v>76</v>
      </c>
      <c r="E6" s="16" t="s">
        <v>77</v>
      </c>
      <c r="F6" s="16" t="s">
        <v>78</v>
      </c>
    </row>
    <row r="7" spans="1:7" ht="72" customHeight="1" x14ac:dyDescent="0.3">
      <c r="A7" s="11" t="s">
        <v>79</v>
      </c>
      <c r="B7" s="18" t="s">
        <v>80</v>
      </c>
      <c r="C7" s="15" t="s">
        <v>81</v>
      </c>
      <c r="D7" s="15" t="s">
        <v>82</v>
      </c>
      <c r="E7" s="15" t="s">
        <v>83</v>
      </c>
      <c r="F7" s="13" t="s">
        <v>63</v>
      </c>
    </row>
    <row r="8" spans="1:7" ht="72" customHeight="1" x14ac:dyDescent="0.3">
      <c r="A8" s="11" t="s">
        <v>84</v>
      </c>
      <c r="B8" s="18" t="s">
        <v>85</v>
      </c>
      <c r="C8" s="18" t="s">
        <v>80</v>
      </c>
      <c r="D8" s="18" t="s">
        <v>74</v>
      </c>
      <c r="E8" s="12" t="s">
        <v>68</v>
      </c>
      <c r="F8" s="12" t="s">
        <v>62</v>
      </c>
    </row>
    <row r="10" spans="1:7" ht="7.5" customHeight="1" x14ac:dyDescent="0.3"/>
    <row r="11" spans="1:7" ht="12.6" customHeight="1" x14ac:dyDescent="0.3">
      <c r="A11" s="39" t="s">
        <v>86</v>
      </c>
      <c r="B11" s="39"/>
      <c r="C11" s="39"/>
      <c r="D11" s="39"/>
      <c r="E11" s="39"/>
      <c r="F11" s="39"/>
      <c r="G11" s="39"/>
    </row>
    <row r="12" spans="1:7" ht="21.75" customHeight="1" x14ac:dyDescent="0.3">
      <c r="A12" s="19" t="s">
        <v>87</v>
      </c>
      <c r="B12" s="20" t="s">
        <v>88</v>
      </c>
      <c r="C12" s="21" t="s">
        <v>89</v>
      </c>
      <c r="D12" s="22" t="s">
        <v>90</v>
      </c>
    </row>
  </sheetData>
  <mergeCells count="2">
    <mergeCell ref="A1:G1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showGridLines="0" zoomScaleNormal="100" workbookViewId="0"/>
  </sheetViews>
  <sheetFormatPr baseColWidth="10" defaultColWidth="8.6640625" defaultRowHeight="14.4" x14ac:dyDescent="0.3"/>
  <cols>
    <col min="1" max="1" width="22" customWidth="1"/>
    <col min="2" max="2" width="12" customWidth="1"/>
    <col min="3" max="5" width="20" customWidth="1"/>
  </cols>
  <sheetData>
    <row r="1" spans="1:5" ht="27.75" customHeight="1" x14ac:dyDescent="0.3">
      <c r="A1" s="37" t="s">
        <v>91</v>
      </c>
      <c r="B1" s="37"/>
      <c r="C1" s="37"/>
      <c r="D1" s="37"/>
      <c r="E1" s="37"/>
    </row>
    <row r="3" spans="1:5" ht="24" customHeight="1" x14ac:dyDescent="0.3">
      <c r="A3" s="1" t="s">
        <v>8</v>
      </c>
      <c r="B3" s="1" t="s">
        <v>92</v>
      </c>
      <c r="C3" s="1" t="s">
        <v>93</v>
      </c>
      <c r="D3" s="1" t="s">
        <v>94</v>
      </c>
      <c r="E3" s="1" t="s">
        <v>95</v>
      </c>
    </row>
    <row r="4" spans="1:5" ht="21.75" customHeight="1" x14ac:dyDescent="0.3">
      <c r="A4" s="4" t="s">
        <v>15</v>
      </c>
      <c r="B4" s="2">
        <v>2</v>
      </c>
      <c r="C4" s="23">
        <f>B4/15*100</f>
        <v>13.333333333333334</v>
      </c>
      <c r="D4" s="2">
        <v>17.5</v>
      </c>
      <c r="E4" s="3" t="s">
        <v>96</v>
      </c>
    </row>
    <row r="5" spans="1:5" ht="21.75" customHeight="1" x14ac:dyDescent="0.3">
      <c r="A5" s="7" t="s">
        <v>24</v>
      </c>
      <c r="B5" s="5">
        <v>5</v>
      </c>
      <c r="C5" s="24">
        <f>B5/15*100</f>
        <v>33.333333333333329</v>
      </c>
      <c r="D5" s="5">
        <v>11.2</v>
      </c>
      <c r="E5" s="6" t="s">
        <v>97</v>
      </c>
    </row>
    <row r="6" spans="1:5" ht="21.75" customHeight="1" x14ac:dyDescent="0.3">
      <c r="A6" s="8" t="s">
        <v>32</v>
      </c>
      <c r="B6" s="2">
        <v>5</v>
      </c>
      <c r="C6" s="23">
        <f>B6/15*100</f>
        <v>33.333333333333329</v>
      </c>
      <c r="D6" s="2">
        <v>8.4</v>
      </c>
      <c r="E6" s="3" t="s">
        <v>98</v>
      </c>
    </row>
    <row r="7" spans="1:5" ht="21.75" customHeight="1" x14ac:dyDescent="0.3">
      <c r="A7" s="9" t="s">
        <v>44</v>
      </c>
      <c r="B7" s="5">
        <v>3</v>
      </c>
      <c r="C7" s="24">
        <f>B7/15*100</f>
        <v>20</v>
      </c>
      <c r="D7" s="5">
        <v>6</v>
      </c>
      <c r="E7" s="6" t="s">
        <v>99</v>
      </c>
    </row>
    <row r="8" spans="1:5" ht="21.75" customHeight="1" x14ac:dyDescent="0.3">
      <c r="A8" s="25" t="s">
        <v>100</v>
      </c>
      <c r="B8" s="25">
        <f>SUM(B4:B7)</f>
        <v>15</v>
      </c>
    </row>
    <row r="10" spans="1:5" ht="7.5" customHeight="1" x14ac:dyDescent="0.3"/>
    <row r="11" spans="1:5" ht="15" customHeight="1" x14ac:dyDescent="0.3">
      <c r="A11" s="40" t="s">
        <v>101</v>
      </c>
      <c r="B11" s="40"/>
      <c r="C11" s="40"/>
      <c r="D11" s="40"/>
      <c r="E11" s="40"/>
    </row>
    <row r="12" spans="1:5" x14ac:dyDescent="0.3">
      <c r="A12" s="1" t="s">
        <v>2</v>
      </c>
      <c r="B12" s="1" t="s">
        <v>102</v>
      </c>
      <c r="C12" s="1" t="s">
        <v>103</v>
      </c>
      <c r="D12" s="1" t="s">
        <v>8</v>
      </c>
      <c r="E12" s="1" t="s">
        <v>104</v>
      </c>
    </row>
    <row r="13" spans="1:5" ht="36" customHeight="1" x14ac:dyDescent="0.3">
      <c r="A13" s="2" t="s">
        <v>105</v>
      </c>
      <c r="B13" s="3" t="s">
        <v>14</v>
      </c>
      <c r="C13" s="2">
        <v>20</v>
      </c>
      <c r="D13" s="26" t="s">
        <v>15</v>
      </c>
      <c r="E13" s="3" t="s">
        <v>106</v>
      </c>
    </row>
    <row r="14" spans="1:5" ht="36" customHeight="1" x14ac:dyDescent="0.3">
      <c r="A14" s="5" t="s">
        <v>107</v>
      </c>
      <c r="B14" s="6" t="s">
        <v>23</v>
      </c>
      <c r="C14" s="5">
        <v>16</v>
      </c>
      <c r="D14" s="27" t="s">
        <v>24</v>
      </c>
      <c r="E14" s="6" t="s">
        <v>108</v>
      </c>
    </row>
    <row r="15" spans="1:5" ht="36" customHeight="1" x14ac:dyDescent="0.3">
      <c r="A15" s="2" t="s">
        <v>109</v>
      </c>
      <c r="B15" s="3" t="s">
        <v>18</v>
      </c>
      <c r="C15" s="2">
        <v>15</v>
      </c>
      <c r="D15" s="26" t="s">
        <v>15</v>
      </c>
      <c r="E15" s="3" t="s">
        <v>110</v>
      </c>
    </row>
    <row r="16" spans="1:5" ht="36" customHeight="1" x14ac:dyDescent="0.3">
      <c r="A16" s="5" t="s">
        <v>111</v>
      </c>
      <c r="B16" s="6" t="s">
        <v>25</v>
      </c>
      <c r="C16" s="5">
        <v>12</v>
      </c>
      <c r="D16" s="27" t="s">
        <v>24</v>
      </c>
      <c r="E16" s="6" t="s">
        <v>112</v>
      </c>
    </row>
    <row r="17" spans="1:5" ht="36" customHeight="1" x14ac:dyDescent="0.3">
      <c r="A17" s="2" t="s">
        <v>113</v>
      </c>
      <c r="B17" s="3" t="s">
        <v>30</v>
      </c>
      <c r="C17" s="2">
        <v>12</v>
      </c>
      <c r="D17" s="27" t="s">
        <v>24</v>
      </c>
      <c r="E17" s="3" t="s">
        <v>114</v>
      </c>
    </row>
  </sheetData>
  <mergeCells count="2">
    <mergeCell ref="A1:E1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de Riesgos</vt:lpstr>
      <vt:lpstr>Matriz Visual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CRISTOFER EDWARD SAN MARTIN CASTRO</cp:lastModifiedBy>
  <cp:revision>0</cp:revision>
  <dcterms:created xsi:type="dcterms:W3CDTF">2026-04-18T14:33:51Z</dcterms:created>
  <dcterms:modified xsi:type="dcterms:W3CDTF">2026-04-19T12:28:37Z</dcterms:modified>
  <dc:language>en-US</dc:language>
</cp:coreProperties>
</file>